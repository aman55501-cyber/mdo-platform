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rade Ideas" sheetId="1" state="visible" r:id="rId3"/>
    <sheet name="Mausaji Buy List" sheetId="2" state="visible" r:id="rId4"/>
    <sheet name="Share Master (summary)" sheetId="3" state="visible" r:id="rId5"/>
    <sheet name="Held (Mausaji names)" sheetId="4" state="visible" r:id="rId6"/>
    <sheet name="Market" sheetId="5" state="visible" r:id="rId7"/>
  </sheets>
  <definedNames>
    <definedName function="false" hidden="true" localSheetId="3" name="_xlnm._FilterDatabase" vbProcedure="false">'Held (Mausaji names)'!$A$1:$G$101</definedName>
    <definedName function="false" hidden="true" localSheetId="1" name="_xlnm._FilterDatabase" vbProcedure="false">'Mausaji Buy List'!$A$3:$O$131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<sst xmlns="http://schemas.openxmlformats.org/spreadsheetml/2006/main" count="1105" uniqueCount="576">
  <si>
    <t xml:space="preserve">Trade ideas — Mon 12 Oct 2026 pre-open. Rules: &gt;80% conviction only, you approve each order, never book a loss. Nothing is placed. Prices = 9 Oct close.</t>
  </si>
  <si>
    <t xml:space="preserve">#</t>
  </si>
  <si>
    <t xml:space="preserve">Stock</t>
  </si>
  <si>
    <t xml:space="preserve">Price</t>
  </si>
  <si>
    <t xml:space="preserve">Day %</t>
  </si>
  <si>
    <t xml:space="preserve">Buy zone low</t>
  </si>
  <si>
    <t xml:space="preserve">Buy zone high</t>
  </si>
  <si>
    <t xml:space="preserve">Zone source</t>
  </si>
  <si>
    <t xml:space="preserve">Check vs zone</t>
  </si>
  <si>
    <t xml:space="preserve">Held by (cost)</t>
  </si>
  <si>
    <t xml:space="preserve">Verdict</t>
  </si>
  <si>
    <t xml:space="preserve">Why / risk</t>
  </si>
  <si>
    <t xml:space="preserve">Hindustan Zinc</t>
  </si>
  <si>
    <t xml:space="preserve">Mausaji, 11 Oct</t>
  </si>
  <si>
    <t xml:space="preserve">Aditi 1,000 @587; Sudha 1,000 @637 (both below cost)</t>
  </si>
  <si>
    <t xml:space="preserve">PASS (4/4)</t>
  </si>
  <si>
    <t xml:space="preserve">Inside zone; 32% of 52w range; volume 2.0M; metals firm. Risk: adding lowers avg cost; metals reverse if US yield rises. A new buy never books a loss. NB: older list zone (6 Aug) was 548.8-560.9.</t>
  </si>
  <si>
    <t xml:space="preserve">Adani Power</t>
  </si>
  <si>
    <t xml:space="preserve">Mausaji direct, 22 Sep</t>
  </si>
  <si>
    <t xml:space="preserve">Sudha 2,000 @130 (in profit)</t>
  </si>
  <si>
    <t xml:space="preserve">Inside zone; 48% of range. Risk: single-name concentration; no volume spike.</t>
  </si>
  <si>
    <t xml:space="preserve">MMWL</t>
  </si>
  <si>
    <t xml:space="preserve">Fwd tip: 20.40-20.50</t>
  </si>
  <si>
    <t xml:space="preserve">FAIL: chasing</t>
  </si>
  <si>
    <t xml:space="preserve">Up 6-9% today, above entry. Penny stock: needs volume/delivery/fundamentals evidence first.</t>
  </si>
  <si>
    <t xml:space="preserve">Shanti Gold</t>
  </si>
  <si>
    <t xml:space="preserve">Fwd tip: 380-381</t>
  </si>
  <si>
    <t xml:space="preserve">Up 6-9% today, above entry.</t>
  </si>
  <si>
    <t xml:space="preserve">Reliance</t>
  </si>
  <si>
    <t xml:space="preserve">Mausaji: 1140-1180</t>
  </si>
  <si>
    <t xml:space="preserve">FAIL: at 52w low</t>
  </si>
  <si>
    <t xml:space="preserve">Inside zone but on 52w low (1,160): wait for a close above it.</t>
  </si>
  <si>
    <t xml:space="preserve">Pricol</t>
  </si>
  <si>
    <t xml:space="preserve">Mausaji: @660</t>
  </si>
  <si>
    <t xml:space="preserve">Sudha 200</t>
  </si>
  <si>
    <t xml:space="preserve">FAIL: 2% above</t>
  </si>
  <si>
    <t xml:space="preserve">2% above his 660.</t>
  </si>
  <si>
    <t xml:space="preserve">JSW Infra</t>
  </si>
  <si>
    <t xml:space="preserve">Mausaji: 330</t>
  </si>
  <si>
    <t xml:space="preserve">FAIL: 2.6% above</t>
  </si>
  <si>
    <t xml:space="preserve">2.6% above his 330.</t>
  </si>
  <si>
    <t xml:space="preserve">Birlasoft</t>
  </si>
  <si>
    <t xml:space="preserve">Mausaji: 'by this time &amp; waiting'</t>
  </si>
  <si>
    <t xml:space="preserve">FAIL: +5.4% on day</t>
  </si>
  <si>
    <t xml:space="preserve">No price given; up 5.4% today.</t>
  </si>
  <si>
    <t xml:space="preserve">Acutaas</t>
  </si>
  <si>
    <t xml:space="preserve">Mausaji, 12 Jul</t>
  </si>
  <si>
    <t xml:space="preserve">FAIL: not at entry</t>
  </si>
  <si>
    <t xml:space="preserve">+3.4%, 74% of 52w range, above zone.</t>
  </si>
  <si>
    <t xml:space="preserve">Exit / decision</t>
  </si>
  <si>
    <t xml:space="preserve">Cupid</t>
  </si>
  <si>
    <t xml:space="preserve">Ashok 1,200 @319</t>
  </si>
  <si>
    <t xml:space="preserve">YOUR CALL</t>
  </si>
  <si>
    <t xml:space="preserve">Now 367, above Mausaji's 350 sell level: profit-taking candidate for Ashok.</t>
  </si>
  <si>
    <t xml:space="preserve">Nifty Dec 25000 CE</t>
  </si>
  <si>
    <t xml:space="preserve">DECIDE by 20 Oct</t>
  </si>
  <si>
    <t xml:space="preserve">Selling returns Rs 12.7 L and books a Rs 52 L loss (breaks never-book-a-loss). Holding: small recovery chance, premium decays daily. Recommendation in snapshot: no action today, written decision by 20 Oct.</t>
  </si>
  <si>
    <t xml:space="preserve">Checks used: (1) dated, named Mausaji zone; (2) price inside zone; (3) lower 70% of 52w range; (4) up on day on volume, no heavy bulk selling. I cannot certify 80% likelihood.</t>
  </si>
  <si>
    <t xml:space="preserve">Mausaji buy list — 128 levels from Share Master. Prices = last close (Yahoo, 9 Oct); refresh at the open. Attribution is from the loader's note, not the chat [UNVERIFIED]. Not an order.</t>
  </si>
  <si>
    <t xml:space="preserve">Count in zone:</t>
  </si>
  <si>
    <t xml:space="preserve">Below zone:</t>
  </si>
  <si>
    <t xml:space="preserve">Not held:</t>
  </si>
  <si>
    <t xml:space="preserve">Source</t>
  </si>
  <si>
    <t xml:space="preserve">Call date</t>
  </si>
  <si>
    <t xml:space="preserve">Ticker</t>
  </si>
  <si>
    <t xml:space="preserve">Company</t>
  </si>
  <si>
    <t xml:space="preserve">Buy level</t>
  </si>
  <si>
    <t xml:space="preserve">Zone low</t>
  </si>
  <si>
    <t xml:space="preserve">Zone high</t>
  </si>
  <si>
    <t xml:space="preserve">Sell level</t>
  </si>
  <si>
    <t xml:space="preserve">Targets</t>
  </si>
  <si>
    <t xml:space="preserve">Stop-loss</t>
  </si>
  <si>
    <t xml:space="preserve">Last price</t>
  </si>
  <si>
    <t xml:space="preserve">vs zone high %</t>
  </si>
  <si>
    <t xml:space="preserve">Status</t>
  </si>
  <si>
    <t xml:space="preserve">Held by</t>
  </si>
  <si>
    <t xml:space="preserve">Holders (qty)</t>
  </si>
  <si>
    <t xml:space="preserve">Mausaji (other)</t>
  </si>
  <si>
    <t xml:space="preserve">[UNVERIFIED]</t>
  </si>
  <si>
    <t xml:space="preserve">CMPDI</t>
  </si>
  <si>
    <t xml:space="preserve">315</t>
  </si>
  <si>
    <t xml:space="preserve">194 [CoS]</t>
  </si>
  <si>
    <t xml:space="preserve">GRAPHITE</t>
  </si>
  <si>
    <t xml:space="preserve">Graphite India</t>
  </si>
  <si>
    <t xml:space="preserve">T3 840 (passed)</t>
  </si>
  <si>
    <t xml:space="preserve">KANOHAR</t>
  </si>
  <si>
    <t xml:space="preserve">Kanohar Electricals</t>
  </si>
  <si>
    <t xml:space="preserve">T1 1,124</t>
  </si>
  <si>
    <t xml:space="preserve">KSB</t>
  </si>
  <si>
    <t xml:space="preserve">1,170</t>
  </si>
  <si>
    <t xml:space="preserve">755 [CoS]</t>
  </si>
  <si>
    <t xml:space="preserve">LOKESHMACH</t>
  </si>
  <si>
    <t xml:space="preserve">Lokesh Machines</t>
  </si>
  <si>
    <t xml:space="preserve">T1 494</t>
  </si>
  <si>
    <t xml:space="preserve">LTF</t>
  </si>
  <si>
    <t xml:space="preserve">L&amp;T Finance</t>
  </si>
  <si>
    <t xml:space="preserve">288 [CoS]</t>
  </si>
  <si>
    <t xml:space="preserve">248 [CoS]</t>
  </si>
  <si>
    <t xml:space="preserve">MOLBIO</t>
  </si>
  <si>
    <t xml:space="preserve">Molbio Diagnostics</t>
  </si>
  <si>
    <t xml:space="preserve">1,884 / 2,074 / 2,224</t>
  </si>
  <si>
    <t xml:space="preserve">1,194</t>
  </si>
  <si>
    <t xml:space="preserve">SBFC</t>
  </si>
  <si>
    <t xml:space="preserve">SBFC Finance</t>
  </si>
  <si>
    <t xml:space="preserve">89.6 [CoS]</t>
  </si>
  <si>
    <t xml:space="preserve">78.5 [CoS]</t>
  </si>
  <si>
    <t xml:space="preserve">SUDARSCHEM</t>
  </si>
  <si>
    <t xml:space="preserve">Sudarshan Chemical</t>
  </si>
  <si>
    <t xml:space="preserve">Final T 1,510</t>
  </si>
  <si>
    <t xml:space="preserve">1,010</t>
  </si>
  <si>
    <t xml:space="preserve">Mausaji direct</t>
  </si>
  <si>
    <t xml:space="preserve">2026-08-11</t>
  </si>
  <si>
    <t xml:space="preserve">PINELABS</t>
  </si>
  <si>
    <t xml:space="preserve">Pine Labs</t>
  </si>
  <si>
    <t xml:space="preserve">Aditi Investments 9000</t>
  </si>
  <si>
    <t xml:space="preserve">2026-08-13</t>
  </si>
  <si>
    <t xml:space="preserve">BLISSGVS</t>
  </si>
  <si>
    <t xml:space="preserve">Bliss GVS Pharma</t>
  </si>
  <si>
    <t xml:space="preserve">Aditi Investments 1000, Aman 500, Sudha 500</t>
  </si>
  <si>
    <t xml:space="preserve">2026-08-17</t>
  </si>
  <si>
    <t xml:space="preserve">MARKSANS</t>
  </si>
  <si>
    <t xml:space="preserve">Marksans Pharma</t>
  </si>
  <si>
    <t xml:space="preserve">575</t>
  </si>
  <si>
    <t xml:space="preserve">Sudha 1000</t>
  </si>
  <si>
    <t xml:space="preserve">2026-08-18</t>
  </si>
  <si>
    <t xml:space="preserve">NAZARA</t>
  </si>
  <si>
    <t xml:space="preserve">Nazara Technologies</t>
  </si>
  <si>
    <t xml:space="preserve">2026-08-24</t>
  </si>
  <si>
    <t xml:space="preserve">SKIPPER</t>
  </si>
  <si>
    <t xml:space="preserve">Skipper</t>
  </si>
  <si>
    <t xml:space="preserve">Sudha 500</t>
  </si>
  <si>
    <t xml:space="preserve">WENDT</t>
  </si>
  <si>
    <t xml:space="preserve">Wendt</t>
  </si>
  <si>
    <t xml:space="preserve">Aditi Investments 20, Ashok 100</t>
  </si>
  <si>
    <t xml:space="preserve">2026-08-27</t>
  </si>
  <si>
    <t xml:space="preserve">SYRMA</t>
  </si>
  <si>
    <t xml:space="preserve">Syrma SGS Technology</t>
  </si>
  <si>
    <t xml:space="preserve">2026-09-07</t>
  </si>
  <si>
    <t xml:space="preserve">EDELWEISS</t>
  </si>
  <si>
    <t xml:space="preserve">Edelweiss Financial Services</t>
  </si>
  <si>
    <t xml:space="preserve">225</t>
  </si>
  <si>
    <t xml:space="preserve">Aditi Investments 1000, Aman 2000</t>
  </si>
  <si>
    <t xml:space="preserve">2026-09-10</t>
  </si>
  <si>
    <t xml:space="preserve">SIGACHI</t>
  </si>
  <si>
    <t xml:space="preserve">Sigachi Industries</t>
  </si>
  <si>
    <t xml:space="preserve">Aditi Investments 15060</t>
  </si>
  <si>
    <t xml:space="preserve">2026-09-22</t>
  </si>
  <si>
    <t xml:space="preserve">ADANIPOWER</t>
  </si>
  <si>
    <t xml:space="preserve">Sudha 2000</t>
  </si>
  <si>
    <t xml:space="preserve">2026-09-23</t>
  </si>
  <si>
    <t xml:space="preserve">AVTNPL</t>
  </si>
  <si>
    <t xml:space="preserve">AVT Natural Products</t>
  </si>
  <si>
    <t xml:space="preserve">115/134/148/164</t>
  </si>
  <si>
    <t xml:space="preserve">68</t>
  </si>
  <si>
    <t xml:space="preserve">BANDHANBNK</t>
  </si>
  <si>
    <t xml:space="preserve">Bandhan Bank</t>
  </si>
  <si>
    <t xml:space="preserve">ELITECON</t>
  </si>
  <si>
    <t xml:space="preserve">Elitecon International</t>
  </si>
  <si>
    <t xml:space="preserve">9.10/9.45/10.05/10.34/10.97/11.45/11.95</t>
  </si>
  <si>
    <t xml:space="preserve">7.45</t>
  </si>
  <si>
    <t xml:space="preserve">Sudha 80000</t>
  </si>
  <si>
    <t xml:space="preserve">JSWCEMENT</t>
  </si>
  <si>
    <t xml:space="preserve">JSW Cement</t>
  </si>
  <si>
    <t xml:space="preserve">Aditi Investments 2000, Sudha 5000</t>
  </si>
  <si>
    <t xml:space="preserve">2026-09-29</t>
  </si>
  <si>
    <t xml:space="preserve">VIYASH</t>
  </si>
  <si>
    <t xml:space="preserve">Viyash Scientific</t>
  </si>
  <si>
    <t xml:space="preserve">Aditi Investments 2000, Aman 3000, Sudha 3000</t>
  </si>
  <si>
    <t xml:space="preserve">2026-09-30</t>
  </si>
  <si>
    <t xml:space="preserve">APARINDS</t>
  </si>
  <si>
    <t xml:space="preserve">Apar Industries</t>
  </si>
  <si>
    <t xml:space="preserve">Ashok 80</t>
  </si>
  <si>
    <t xml:space="preserve">SOLARINDS</t>
  </si>
  <si>
    <t xml:space="preserve">Solar Industries India</t>
  </si>
  <si>
    <t xml:space="preserve">2026-10-01</t>
  </si>
  <si>
    <t xml:space="preserve">CUPID</t>
  </si>
  <si>
    <t xml:space="preserve">350/400 (01-Oct 15:30 fwd)</t>
  </si>
  <si>
    <t xml:space="preserve">Ashok 1200</t>
  </si>
  <si>
    <t xml:space="preserve">2026-10-02</t>
  </si>
  <si>
    <t xml:space="preserve">KWIL</t>
  </si>
  <si>
    <t xml:space="preserve">Kwality Wall's</t>
  </si>
  <si>
    <t xml:space="preserve">Aman 7000</t>
  </si>
  <si>
    <t xml:space="preserve">2026-10-04</t>
  </si>
  <si>
    <t xml:space="preserve">EXCELSOFT</t>
  </si>
  <si>
    <t xml:space="preserve">Excelsoft Technologies</t>
  </si>
  <si>
    <t xml:space="preserve">114</t>
  </si>
  <si>
    <t xml:space="preserve">73.5 [CoS]</t>
  </si>
  <si>
    <t xml:space="preserve">2026-10-05</t>
  </si>
  <si>
    <t xml:space="preserve">DYNAMATECH</t>
  </si>
  <si>
    <t xml:space="preserve">Dynamatic Technologies</t>
  </si>
  <si>
    <t xml:space="preserve">21,000</t>
  </si>
  <si>
    <t xml:space="preserve">12,600 [CoS]</t>
  </si>
  <si>
    <t xml:space="preserve">Aditi 30, Aman 30, Ashok 10</t>
  </si>
  <si>
    <t xml:space="preserve">TEXMOPIPES</t>
  </si>
  <si>
    <t xml:space="preserve">Texmo Pipes &amp; Products</t>
  </si>
  <si>
    <t xml:space="preserve">Mausaji fwd</t>
  </si>
  <si>
    <t xml:space="preserve">2026-07-04</t>
  </si>
  <si>
    <t xml:space="preserve">VEDPOWER</t>
  </si>
  <si>
    <t xml:space="preserve">Vedanta Power</t>
  </si>
  <si>
    <t xml:space="preserve">Aman 10000, Ashok 10000, Sudha 15000</t>
  </si>
  <si>
    <t xml:space="preserve">2026-07-05</t>
  </si>
  <si>
    <t xml:space="preserve">AHLUCONT</t>
  </si>
  <si>
    <t xml:space="preserve">Ahluwalia Contracts</t>
  </si>
  <si>
    <t xml:space="preserve">1200</t>
  </si>
  <si>
    <t xml:space="preserve">2026-07-10</t>
  </si>
  <si>
    <t xml:space="preserve">VISL</t>
  </si>
  <si>
    <t xml:space="preserve">Vedanta Iron and Steel</t>
  </si>
  <si>
    <t xml:space="preserve">Aman 20000, Ashok 10000, Sudha 10000</t>
  </si>
  <si>
    <t xml:space="preserve">2026-07-12</t>
  </si>
  <si>
    <t xml:space="preserve">ACUTAAS</t>
  </si>
  <si>
    <t xml:space="preserve">Acutaas Chemicals</t>
  </si>
  <si>
    <t xml:space="preserve">BEL</t>
  </si>
  <si>
    <t xml:space="preserve">Bharat Electronics</t>
  </si>
  <si>
    <t xml:space="preserve">CDSL</t>
  </si>
  <si>
    <t xml:space="preserve">Central Depository Services</t>
  </si>
  <si>
    <t xml:space="preserve">Aman 1000</t>
  </si>
  <si>
    <t xml:space="preserve">HSCL</t>
  </si>
  <si>
    <t xml:space="preserve">Himadri Speciality Chemical</t>
  </si>
  <si>
    <t xml:space="preserve">KAYNES</t>
  </si>
  <si>
    <t xml:space="preserve">Kaynes Technology India</t>
  </si>
  <si>
    <t xml:space="preserve">NETWEB</t>
  </si>
  <si>
    <t xml:space="preserve">Netweb Technologies India</t>
  </si>
  <si>
    <t xml:space="preserve">2026-07-22</t>
  </si>
  <si>
    <t xml:space="preserve">VOGL</t>
  </si>
  <si>
    <t xml:space="preserve">Vedanta Oil and Gas</t>
  </si>
  <si>
    <t xml:space="preserve">Aman 10000, Ashok 10000, Sudha 10000</t>
  </si>
  <si>
    <t xml:space="preserve">2026-07-23</t>
  </si>
  <si>
    <t xml:space="preserve">TFCILTD</t>
  </si>
  <si>
    <t xml:space="preserve">Tourism Finance Corporation of</t>
  </si>
  <si>
    <t xml:space="preserve">150.00</t>
  </si>
  <si>
    <t xml:space="preserve">2026-08-03</t>
  </si>
  <si>
    <t xml:space="preserve">DEEPINDS</t>
  </si>
  <si>
    <t xml:space="preserve">Deep Industries</t>
  </si>
  <si>
    <t xml:space="preserve">1100</t>
  </si>
  <si>
    <t xml:space="preserve">2026-08-06</t>
  </si>
  <si>
    <t xml:space="preserve">HINDZINC</t>
  </si>
  <si>
    <t xml:space="preserve">Aditi 1000, Sudha 1000</t>
  </si>
  <si>
    <t xml:space="preserve">2026-08-09</t>
  </si>
  <si>
    <t xml:space="preserve">FILATEX</t>
  </si>
  <si>
    <t xml:space="preserve">Filatex India</t>
  </si>
  <si>
    <t xml:space="preserve">120</t>
  </si>
  <si>
    <t xml:space="preserve">Aditi 5000, Sudha 5000</t>
  </si>
  <si>
    <t xml:space="preserve">2026-08-10</t>
  </si>
  <si>
    <t xml:space="preserve">SANGHVIMOV</t>
  </si>
  <si>
    <t xml:space="preserve">Sanghvi Movers</t>
  </si>
  <si>
    <t xml:space="preserve">1000</t>
  </si>
  <si>
    <t xml:space="preserve">ICRA</t>
  </si>
  <si>
    <t xml:space="preserve">7500</t>
  </si>
  <si>
    <t xml:space="preserve">MASFIN</t>
  </si>
  <si>
    <t xml:space="preserve">MAS Financial Services</t>
  </si>
  <si>
    <t xml:space="preserve">450</t>
  </si>
  <si>
    <t xml:space="preserve">INDOBORAX</t>
  </si>
  <si>
    <t xml:space="preserve">Indo Borax &amp; Chemicals</t>
  </si>
  <si>
    <t xml:space="preserve">900.00</t>
  </si>
  <si>
    <t xml:space="preserve">Sudha 1002</t>
  </si>
  <si>
    <t xml:space="preserve">RAYMONDREL</t>
  </si>
  <si>
    <t xml:space="preserve">Raymond Realty</t>
  </si>
  <si>
    <t xml:space="preserve">840</t>
  </si>
  <si>
    <t xml:space="preserve">Sudha 700</t>
  </si>
  <si>
    <t xml:space="preserve">2026-08-25</t>
  </si>
  <si>
    <t xml:space="preserve">PARAS</t>
  </si>
  <si>
    <t xml:space="preserve">Paras Defence and Space Techno</t>
  </si>
  <si>
    <t xml:space="preserve">1500</t>
  </si>
  <si>
    <t xml:space="preserve">2026-08-30</t>
  </si>
  <si>
    <t xml:space="preserve">AWL</t>
  </si>
  <si>
    <t xml:space="preserve">AWL Agri Business</t>
  </si>
  <si>
    <t xml:space="preserve">285</t>
  </si>
  <si>
    <t xml:space="preserve">2026-08-31</t>
  </si>
  <si>
    <t xml:space="preserve">PRECWIRE</t>
  </si>
  <si>
    <t xml:space="preserve">Precision Wires India</t>
  </si>
  <si>
    <t xml:space="preserve">900</t>
  </si>
  <si>
    <t xml:space="preserve">Aditi Investments 3000, Sudha 2000</t>
  </si>
  <si>
    <t xml:space="preserve">2026-09-09</t>
  </si>
  <si>
    <t xml:space="preserve">APLAPOLLO</t>
  </si>
  <si>
    <t xml:space="preserve">APL Apollo Tubes</t>
  </si>
  <si>
    <t xml:space="preserve">2026-09-11</t>
  </si>
  <si>
    <t xml:space="preserve">IIFL</t>
  </si>
  <si>
    <t xml:space="preserve">IIFL Finance</t>
  </si>
  <si>
    <t xml:space="preserve">₹770</t>
  </si>
  <si>
    <t xml:space="preserve">Aman 500</t>
  </si>
  <si>
    <t xml:space="preserve">2026-09-17</t>
  </si>
  <si>
    <t xml:space="preserve">GRANULES</t>
  </si>
  <si>
    <t xml:space="preserve">Granules India</t>
  </si>
  <si>
    <t xml:space="preserve">1400</t>
  </si>
  <si>
    <t xml:space="preserve">2026-09-21</t>
  </si>
  <si>
    <t xml:space="preserve">AEGISLOG</t>
  </si>
  <si>
    <t xml:space="preserve">Aegis Logistics</t>
  </si>
  <si>
    <t xml:space="preserve">2100</t>
  </si>
  <si>
    <t xml:space="preserve">Aditi Investments 100</t>
  </si>
  <si>
    <t xml:space="preserve">RBLBANK</t>
  </si>
  <si>
    <t xml:space="preserve">RBL Bank</t>
  </si>
  <si>
    <t xml:space="preserve">434 / 454 / 474 / 496 / 510 / 535 / 565</t>
  </si>
  <si>
    <t xml:space="preserve">384</t>
  </si>
  <si>
    <t xml:space="preserve">2026-09-24</t>
  </si>
  <si>
    <t xml:space="preserve">SHRIPISTON</t>
  </si>
  <si>
    <t xml:space="preserve">SPR Auto Technologies</t>
  </si>
  <si>
    <t xml:space="preserve">6150 (Motilal)</t>
  </si>
  <si>
    <t xml:space="preserve">Aditi Investments 50, Ashok 50</t>
  </si>
  <si>
    <t xml:space="preserve">2026-09-25</t>
  </si>
  <si>
    <t xml:space="preserve">INDIAGLYCO</t>
  </si>
  <si>
    <t xml:space="preserve">India Glycols</t>
  </si>
  <si>
    <t xml:space="preserve">310/321/333/346/357/384/396</t>
  </si>
  <si>
    <t xml:space="preserve">260</t>
  </si>
  <si>
    <t xml:space="preserve">KSCL</t>
  </si>
  <si>
    <t xml:space="preserve">Kaveri Seed Company</t>
  </si>
  <si>
    <t xml:space="preserve">795/816/834/848/865/893/914/945/978</t>
  </si>
  <si>
    <t xml:space="preserve">701</t>
  </si>
  <si>
    <t xml:space="preserve">TGVSL</t>
  </si>
  <si>
    <t xml:space="preserve">TGV Sraac</t>
  </si>
  <si>
    <t xml:space="preserve">123/127/133/139/145/151/157</t>
  </si>
  <si>
    <t xml:space="preserve">105</t>
  </si>
  <si>
    <t xml:space="preserve">2026-09-27</t>
  </si>
  <si>
    <t xml:space="preserve">PROTEAN</t>
  </si>
  <si>
    <t xml:space="preserve">Protean eGov Technologies</t>
  </si>
  <si>
    <t xml:space="preserve">1020</t>
  </si>
  <si>
    <t xml:space="preserve">Aditi 200, Aditi Investments 2000, Sudha 500</t>
  </si>
  <si>
    <t xml:space="preserve">2026-09-28</t>
  </si>
  <si>
    <t xml:space="preserve">AJAXENGG</t>
  </si>
  <si>
    <t xml:space="preserve">Ajax Engineering</t>
  </si>
  <si>
    <t xml:space="preserve">694/754/798</t>
  </si>
  <si>
    <t xml:space="preserve">494</t>
  </si>
  <si>
    <t xml:space="preserve">ENGINERSIN</t>
  </si>
  <si>
    <t xml:space="preserve">Engineers India</t>
  </si>
  <si>
    <t xml:space="preserve">330 / 342 / 367 / 381 / 396 / 410 / 426 / 452</t>
  </si>
  <si>
    <t xml:space="preserve">271</t>
  </si>
  <si>
    <t xml:space="preserve">HBLENGINE</t>
  </si>
  <si>
    <t xml:space="preserve">HBL Engineering</t>
  </si>
  <si>
    <t xml:space="preserve">Aman 100</t>
  </si>
  <si>
    <t xml:space="preserve">ROLEXRINGS</t>
  </si>
  <si>
    <t xml:space="preserve">Rolex Rings</t>
  </si>
  <si>
    <t xml:space="preserve">205 / 221 / 236 / 255 / 275 / 295 / 310</t>
  </si>
  <si>
    <t xml:space="preserve">158</t>
  </si>
  <si>
    <t xml:space="preserve">Aditi 1000, Sudha 5000</t>
  </si>
  <si>
    <t xml:space="preserve">SYNCOMF</t>
  </si>
  <si>
    <t xml:space="preserve">Syncom Formulations</t>
  </si>
  <si>
    <t xml:space="preserve">EMIL</t>
  </si>
  <si>
    <t xml:space="preserve">Electronics Mart India</t>
  </si>
  <si>
    <t xml:space="preserve">259/294/314</t>
  </si>
  <si>
    <t xml:space="preserve">144</t>
  </si>
  <si>
    <t xml:space="preserve">Ashok 500</t>
  </si>
  <si>
    <t xml:space="preserve">NORTHARC</t>
  </si>
  <si>
    <t xml:space="preserve">Northern Arc Capital</t>
  </si>
  <si>
    <t xml:space="preserve">Aditi 1000, Aditi Investments 3000, Sudha 1500</t>
  </si>
  <si>
    <t xml:space="preserve">Mausaji mention</t>
  </si>
  <si>
    <t xml:space="preserve">2026-07-06</t>
  </si>
  <si>
    <t xml:space="preserve">ADVENTHTL</t>
  </si>
  <si>
    <t xml:space="preserve">Advent Hotels International</t>
  </si>
  <si>
    <t xml:space="preserve">2026-07-09</t>
  </si>
  <si>
    <t xml:space="preserve">GREAVESCOT</t>
  </si>
  <si>
    <t xml:space="preserve">Greaves Cotton</t>
  </si>
  <si>
    <t xml:space="preserve">JSFB</t>
  </si>
  <si>
    <t xml:space="preserve">Jana Small Finance Bank</t>
  </si>
  <si>
    <t xml:space="preserve">ZEEL</t>
  </si>
  <si>
    <t xml:space="preserve">Zee Entertainment Enterprises</t>
  </si>
  <si>
    <t xml:space="preserve">Aditi Investments 1000, Aman 4000</t>
  </si>
  <si>
    <t xml:space="preserve">2026-07-13</t>
  </si>
  <si>
    <t xml:space="preserve">INDOSTAR</t>
  </si>
  <si>
    <t xml:space="preserve">IndoStar Capital Finance</t>
  </si>
  <si>
    <t xml:space="preserve">NBCC</t>
  </si>
  <si>
    <t xml:space="preserve">2026-07-14</t>
  </si>
  <si>
    <t xml:space="preserve">NIVABUPA</t>
  </si>
  <si>
    <t xml:space="preserve">Niva Bupa Health Insurance Com</t>
  </si>
  <si>
    <t xml:space="preserve">2026-07-15</t>
  </si>
  <si>
    <t xml:space="preserve">DAMCAPITAL</t>
  </si>
  <si>
    <t xml:space="preserve">Dam Capital Advisors</t>
  </si>
  <si>
    <t xml:space="preserve">Aditi Investments 7000</t>
  </si>
  <si>
    <t xml:space="preserve">INVPRECQ</t>
  </si>
  <si>
    <t xml:space="preserve">Investment &amp; Precision Casting</t>
  </si>
  <si>
    <t xml:space="preserve">2026-07-21</t>
  </si>
  <si>
    <t xml:space="preserve">BAJAJ-AUTO</t>
  </si>
  <si>
    <t xml:space="preserve">Bajaj Auto</t>
  </si>
  <si>
    <t xml:space="preserve">RALLIS</t>
  </si>
  <si>
    <t xml:space="preserve">Rallis India</t>
  </si>
  <si>
    <t xml:space="preserve">FDC</t>
  </si>
  <si>
    <t xml:space="preserve">INDUSINDBK</t>
  </si>
  <si>
    <t xml:space="preserve">IndusInd Bank</t>
  </si>
  <si>
    <t xml:space="preserve">2026-07-28</t>
  </si>
  <si>
    <t xml:space="preserve">EUREKAFORB</t>
  </si>
  <si>
    <t xml:space="preserve">Eureka Forbes</t>
  </si>
  <si>
    <t xml:space="preserve">2026-07-29</t>
  </si>
  <si>
    <t xml:space="preserve">CROMPTON</t>
  </si>
  <si>
    <t xml:space="preserve">Crompton Greaves Consumer Elec</t>
  </si>
  <si>
    <t xml:space="preserve">2026-07-31</t>
  </si>
  <si>
    <t xml:space="preserve">AZAD</t>
  </si>
  <si>
    <t xml:space="preserve">Azad Engineering</t>
  </si>
  <si>
    <t xml:space="preserve">Aditi 100, Sudha 1000</t>
  </si>
  <si>
    <t xml:space="preserve">CONFIPET</t>
  </si>
  <si>
    <t xml:space="preserve">Confidence Petroleum India</t>
  </si>
  <si>
    <t xml:space="preserve">Sudha 8000</t>
  </si>
  <si>
    <t xml:space="preserve">2026-08-04</t>
  </si>
  <si>
    <t xml:space="preserve">ALKYLAMINE</t>
  </si>
  <si>
    <t xml:space="preserve">Alkyl Amines Chemicals</t>
  </si>
  <si>
    <t xml:space="preserve">STYRENIX</t>
  </si>
  <si>
    <t xml:space="preserve">Styrenix Performance Materials</t>
  </si>
  <si>
    <t xml:space="preserve">SUNDRMFAST</t>
  </si>
  <si>
    <t xml:space="preserve">Sundram Fasteners</t>
  </si>
  <si>
    <t xml:space="preserve">VAML</t>
  </si>
  <si>
    <t xml:space="preserve">Vedanta Aluminium Metal</t>
  </si>
  <si>
    <t xml:space="preserve">Aman 4500, Ashok 4000, Sudha 3500</t>
  </si>
  <si>
    <t xml:space="preserve">2026-08-07</t>
  </si>
  <si>
    <t xml:space="preserve">PGIL</t>
  </si>
  <si>
    <t xml:space="preserve">Pearl Global Industries</t>
  </si>
  <si>
    <t xml:space="preserve">Aditi 400, Ashok 100</t>
  </si>
  <si>
    <t xml:space="preserve">AARTIPHARM</t>
  </si>
  <si>
    <t xml:space="preserve">Aarti Pharmalabs</t>
  </si>
  <si>
    <t xml:space="preserve">2026-08-12</t>
  </si>
  <si>
    <t xml:space="preserve">AKUMS</t>
  </si>
  <si>
    <t xml:space="preserve">Akums Drugs and Pharmaceutical</t>
  </si>
  <si>
    <t xml:space="preserve">VEDL</t>
  </si>
  <si>
    <t xml:space="preserve">Vedanta</t>
  </si>
  <si>
    <t xml:space="preserve">Aman 5000, Sudha 2000</t>
  </si>
  <si>
    <t xml:space="preserve">VENUSREM</t>
  </si>
  <si>
    <t xml:space="preserve">Venus Remedies</t>
  </si>
  <si>
    <t xml:space="preserve">TMCV</t>
  </si>
  <si>
    <t xml:space="preserve">Tata Motors</t>
  </si>
  <si>
    <t xml:space="preserve">2026-08-14</t>
  </si>
  <si>
    <t xml:space="preserve">SJS</t>
  </si>
  <si>
    <t xml:space="preserve">S.J.S. Enterprises</t>
  </si>
  <si>
    <t xml:space="preserve">SGMART</t>
  </si>
  <si>
    <t xml:space="preserve">SG Mart</t>
  </si>
  <si>
    <t xml:space="preserve">Aditi 1000, Aditi Investments 150, Aman 500</t>
  </si>
  <si>
    <t xml:space="preserve">2026-08-20</t>
  </si>
  <si>
    <t xml:space="preserve">360ONE</t>
  </si>
  <si>
    <t xml:space="preserve">360 ONE WAM</t>
  </si>
  <si>
    <t xml:space="preserve">Aditi Investments 500</t>
  </si>
  <si>
    <t xml:space="preserve">YATHARTH</t>
  </si>
  <si>
    <t xml:space="preserve">Yatharth Hospital &amp; Trauma Car</t>
  </si>
  <si>
    <t xml:space="preserve">Aditi Investments 1500, Aman 100, Sudha 500</t>
  </si>
  <si>
    <t xml:space="preserve">2026-08-26</t>
  </si>
  <si>
    <t xml:space="preserve">SAIL</t>
  </si>
  <si>
    <t xml:space="preserve">Steel Authority of India</t>
  </si>
  <si>
    <t xml:space="preserve">GVT&amp;D</t>
  </si>
  <si>
    <t xml:space="preserve">GE Vernova T&amp;D India</t>
  </si>
  <si>
    <t xml:space="preserve">HAPPYFORGE</t>
  </si>
  <si>
    <t xml:space="preserve">Happy Forgings</t>
  </si>
  <si>
    <t xml:space="preserve">Aditi 400, Aman 400</t>
  </si>
  <si>
    <t xml:space="preserve">2026-09-04</t>
  </si>
  <si>
    <t xml:space="preserve">IONEXCHANG</t>
  </si>
  <si>
    <t xml:space="preserve">ION Exchange</t>
  </si>
  <si>
    <t xml:space="preserve">2026-09-13</t>
  </si>
  <si>
    <t xml:space="preserve">HDFCBANK</t>
  </si>
  <si>
    <t xml:space="preserve">HDFC Bank</t>
  </si>
  <si>
    <t xml:space="preserve">2026-09-15</t>
  </si>
  <si>
    <t xml:space="preserve">PRICOLLTD</t>
  </si>
  <si>
    <t xml:space="preserve">TRAVELFOOD</t>
  </si>
  <si>
    <t xml:space="preserve">Travel Food Services</t>
  </si>
  <si>
    <t xml:space="preserve">2026-09-18</t>
  </si>
  <si>
    <t xml:space="preserve">MUTHOOTFIN</t>
  </si>
  <si>
    <t xml:space="preserve">Muthoot Finance</t>
  </si>
  <si>
    <t xml:space="preserve">2,772 / 2,874 [CoS]</t>
  </si>
  <si>
    <t xml:space="preserve">2,620 [CoS]</t>
  </si>
  <si>
    <t xml:space="preserve">2026-09-20</t>
  </si>
  <si>
    <t xml:space="preserve">CRAFTSMAN</t>
  </si>
  <si>
    <t xml:space="preserve">Craftsman Automation</t>
  </si>
  <si>
    <t xml:space="preserve">Sudha 50</t>
  </si>
  <si>
    <t xml:space="preserve">BHEL</t>
  </si>
  <si>
    <t xml:space="preserve">Bharat Heavy Electricals</t>
  </si>
  <si>
    <t xml:space="preserve">MOTILALOFS</t>
  </si>
  <si>
    <t xml:space="preserve">Motilal Oswal Financial Servic</t>
  </si>
  <si>
    <t xml:space="preserve">Ashok 1000</t>
  </si>
  <si>
    <t xml:space="preserve">OLAELEC</t>
  </si>
  <si>
    <t xml:space="preserve">Ola Electric Mobility</t>
  </si>
  <si>
    <t xml:space="preserve">WOCKPHARMA</t>
  </si>
  <si>
    <t xml:space="preserve">Wockhardt</t>
  </si>
  <si>
    <t xml:space="preserve">Aditi 1200, Aditi Investments 500, Aman 750</t>
  </si>
  <si>
    <t xml:space="preserve">SANSERA</t>
  </si>
  <si>
    <t xml:space="preserve">Sansera Engineering</t>
  </si>
  <si>
    <t xml:space="preserve">Aditi 500, Aditi Investments 200, Ashok 300</t>
  </si>
  <si>
    <t xml:space="preserve">AURUM</t>
  </si>
  <si>
    <t xml:space="preserve">Aurum PropTech</t>
  </si>
  <si>
    <t xml:space="preserve">BEML</t>
  </si>
  <si>
    <t xml:space="preserve">2600 (Emkay TP)</t>
  </si>
  <si>
    <t xml:space="preserve">BORORENEW</t>
  </si>
  <si>
    <t xml:space="preserve">BOROSIL RENEWABLES</t>
  </si>
  <si>
    <t xml:space="preserve">Aditi 1000, Aditi Investments 1000, Sudha 500</t>
  </si>
  <si>
    <t xml:space="preserve">STLTECH</t>
  </si>
  <si>
    <t xml:space="preserve">Sterlite Technologies</t>
  </si>
  <si>
    <t xml:space="preserve">Aditi 2000</t>
  </si>
  <si>
    <t xml:space="preserve">TEGA</t>
  </si>
  <si>
    <t xml:space="preserve">Tega Industries</t>
  </si>
  <si>
    <t xml:space="preserve">Ashok 300, Sudha 100</t>
  </si>
  <si>
    <t xml:space="preserve">SHILPAMED</t>
  </si>
  <si>
    <t xml:space="preserve">Shilpa Medicare</t>
  </si>
  <si>
    <t xml:space="preserve">Other source</t>
  </si>
  <si>
    <t xml:space="preserve">2026-10-07</t>
  </si>
  <si>
    <t xml:space="preserve">AXISBANK</t>
  </si>
  <si>
    <t xml:space="preserve">Axis Bank</t>
  </si>
  <si>
    <t xml:space="preserve">1,348 / 1,418</t>
  </si>
  <si>
    <t xml:space="preserve">1,226</t>
  </si>
  <si>
    <t xml:space="preserve">BHARTIARTL</t>
  </si>
  <si>
    <t xml:space="preserve">Bharti Airtel Fut</t>
  </si>
  <si>
    <t xml:space="preserve">1,830 / 1,845 / 1,865</t>
  </si>
  <si>
    <t xml:space="preserve">1,790</t>
  </si>
  <si>
    <t xml:space="preserve">COALINDIA</t>
  </si>
  <si>
    <t xml:space="preserve">Coal India Fut</t>
  </si>
  <si>
    <t xml:space="preserve">420 / 428</t>
  </si>
  <si>
    <t xml:space="preserve">Support 404</t>
  </si>
  <si>
    <t xml:space="preserve">GLAND</t>
  </si>
  <si>
    <t xml:space="preserve">Gland Pharma</t>
  </si>
  <si>
    <t xml:space="preserve">3,325</t>
  </si>
  <si>
    <t xml:space="preserve">tightened by CoS)</t>
  </si>
  <si>
    <t xml:space="preserve">ICICIBANK</t>
  </si>
  <si>
    <t xml:space="preserve">ICICI Bank</t>
  </si>
  <si>
    <t xml:space="preserve">1,392 / 1,480</t>
  </si>
  <si>
    <t xml:space="preserve">1,325</t>
  </si>
  <si>
    <t xml:space="preserve">INDUSTOWER</t>
  </si>
  <si>
    <t xml:space="preserve">Indus Towers Fut</t>
  </si>
  <si>
    <t xml:space="preserve">393 / 397 / 403</t>
  </si>
  <si>
    <t xml:space="preserve">PAYTM</t>
  </si>
  <si>
    <t xml:space="preserve">Paytm / One 97</t>
  </si>
  <si>
    <t xml:space="preserve">1,855</t>
  </si>
  <si>
    <t xml:space="preserve">1,678</t>
  </si>
  <si>
    <t xml:space="preserve">Share Master — portfolio as of 9 Oct 2026 close (from briefs/MARKET_SNAPSHOT_2026-10-12.md)</t>
  </si>
  <si>
    <t xml:space="preserve">PARTIAL: the full 331-row Share_Master.xlsx lives in the server vault (finance/Share_Master.xlsx) and was not reachable from here. Below is only what the 12 Oct snapshot states. [UNVERIFIED: not re-checked against the broker]</t>
  </si>
  <si>
    <t xml:space="preserve">Holder</t>
  </si>
  <si>
    <t xml:space="preserve">Value (Rs crore)</t>
  </si>
  <si>
    <t xml:space="preserve">Sudha</t>
  </si>
  <si>
    <t xml:space="preserve">Aman</t>
  </si>
  <si>
    <t xml:space="preserve">Aditi Investments</t>
  </si>
  <si>
    <t xml:space="preserve">Ashok</t>
  </si>
  <si>
    <t xml:space="preserve">Aditi</t>
  </si>
  <si>
    <t xml:space="preserve">Total (sum of holder split)</t>
  </si>
  <si>
    <t xml:space="preserve">Snapshot states Rs 19.9 cr across 331 holdings</t>
  </si>
  <si>
    <t xml:space="preserve">Biggest positions</t>
  </si>
  <si>
    <t xml:space="preserve">Value (Rs lakh)</t>
  </si>
  <si>
    <t xml:space="preserve">Qty / note</t>
  </si>
  <si>
    <t xml:space="preserve">JioFin</t>
  </si>
  <si>
    <t xml:space="preserve">Aman 24,000, Aditi 10,000, Sudha 5,000; -13% on cost</t>
  </si>
  <si>
    <t xml:space="preserve">Sansera</t>
  </si>
  <si>
    <t xml:space="preserve">L&amp;T</t>
  </si>
  <si>
    <t xml:space="preserve">Esconet</t>
  </si>
  <si>
    <t xml:space="preserve">F&amp;O book</t>
  </si>
  <si>
    <t xml:space="preserve">Rs lakh</t>
  </si>
  <si>
    <t xml:space="preserve">Note</t>
  </si>
  <si>
    <t xml:space="preserve">Unrealised P&amp;L (20 lines)</t>
  </si>
  <si>
    <t xml:space="preserve">approx</t>
  </si>
  <si>
    <t xml:space="preserve">Premium left</t>
  </si>
  <si>
    <t xml:space="preserve">Nifty 29-Dec-26 25000 CE (acct AA, 29,250 qty @222, last 43.5)</t>
  </si>
  <si>
    <t xml:space="preserve">cost 64.9 L, worth 12.7 L; needs ~+12% (25,222) to break even; 78 days left</t>
  </si>
  <si>
    <t xml:space="preserve">12 options expiring 27 Oct: premium left</t>
  </si>
  <si>
    <t xml:space="preserve">15 days</t>
  </si>
  <si>
    <t xml:space="preserve">BHEL 450 CE (acct SA)</t>
  </si>
  <si>
    <t xml:space="preserve">only line in profit: +Rs 16,012</t>
  </si>
  <si>
    <t xml:space="preserve">DATA GAP</t>
  </si>
  <si>
    <t xml:space="preserve">71 Aditi Investments rows have no cost price (@0): P&amp;L unreadable. Needs HDFC / Angel One feed (keys pending).</t>
  </si>
  <si>
    <t xml:space="preserve">Qty</t>
  </si>
  <si>
    <t xml:space="preserve">Value (Rs)</t>
  </si>
  <si>
    <t xml:space="preserve">Total</t>
  </si>
  <si>
    <t xml:space="preserve">Market snapshot — last close (Fri 9 Oct), pre-open 12 Oct 08:00 IST. No same-day news/RBI/flow data found [UNVERIFIED].</t>
  </si>
  <si>
    <t xml:space="preserve">Market</t>
  </si>
  <si>
    <t xml:space="preserve">Level</t>
  </si>
  <si>
    <t xml:space="preserve">Nifty 50</t>
  </si>
  <si>
    <t xml:space="preserve">Bank Nifty</t>
  </si>
  <si>
    <t xml:space="preserve">Sensex</t>
  </si>
  <si>
    <t xml:space="preserve">52w low 71,293, high 86,159</t>
  </si>
  <si>
    <t xml:space="preserve">India VIX</t>
  </si>
  <si>
    <t xml:space="preserve">fear easing</t>
  </si>
  <si>
    <t xml:space="preserve">USD/INR</t>
  </si>
  <si>
    <t xml:space="preserve">S&amp;P 500</t>
  </si>
  <si>
    <t xml:space="preserve">near 52w high 7,844</t>
  </si>
  <si>
    <t xml:space="preserve">Nasdaq</t>
  </si>
  <si>
    <t xml:space="preserve">Dow</t>
  </si>
  <si>
    <t xml:space="preserve">FTSE</t>
  </si>
  <si>
    <t xml:space="preserve">DAX</t>
  </si>
  <si>
    <t xml:space="preserve">Hang Seng</t>
  </si>
  <si>
    <t xml:space="preserve">Nikkei</t>
  </si>
  <si>
    <t xml:space="preserve">Brent ($)</t>
  </si>
  <si>
    <t xml:space="preserve">52w 58.7-126.1</t>
  </si>
  <si>
    <t xml:space="preserve">Gold ($)</t>
  </si>
  <si>
    <t xml:space="preserve">Copper ($)</t>
  </si>
  <si>
    <t xml:space="preserve">near 52w high</t>
  </si>
  <si>
    <t xml:space="preserve">Silver ($)</t>
  </si>
  <si>
    <t xml:space="preserve">Dollar index</t>
  </si>
  <si>
    <t xml:space="preserve">US 10y yield (%)</t>
  </si>
  <si>
    <t xml:space="preserve">near 52w high 5.36%</t>
  </si>
  <si>
    <t xml:space="preserve">Read: risk-on into the open; US 10y at 5.24% and Brent &gt;$100 can reverse it. Metals strength helps Vedanta, Hindustan Zinc, Hindalco-type holdings.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</si>
</sst>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"/>
    <numFmt numFmtId="167" formatCode="0.00"/>
    <numFmt numFmtId="168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06100"/>
      <name val="Cambria"/>
      <family val="0"/>
      <charset val="1"/>
    </font>
    <font>
      <b val="true"/>
      <sz val="11"/>
      <color rgb="FF9C000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C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6" min="5" style="0" width="11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9" min="9" style="0" width="34"/>
    <col collapsed="false" customWidth="true" hidden="false" outlineLevel="0" max="10" min="10" style="0" width="16"/>
    <col collapsed="false" customWidth="true" hidden="false" outlineLevel="0" max="11" min="11" style="0" width="70"/>
  </cols>
  <sheetData>
    <row r="1" customFormat="false" ht="15" hidden="false" customHeight="false" outlineLevel="0" collapsed="false">
      <c r="A1" s="1" t="s">
        <v>0</v>
      </c>
    </row>
    <row r="3" customFormat="false" ht="28.3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customFormat="false" ht="41.75" hidden="false" customHeight="false" outlineLevel="0" collapsed="false">
      <c r="A4" s="0" t="n">
        <v>1</v>
      </c>
      <c r="B4" s="0" t="s">
        <v>12</v>
      </c>
      <c r="C4" s="0" t="n">
        <v>543.5</v>
      </c>
      <c r="D4" s="3" t="n">
        <v>0.022</v>
      </c>
      <c r="E4" s="0" t="n">
        <v>540</v>
      </c>
      <c r="F4" s="0" t="n">
        <v>550</v>
      </c>
      <c r="G4" s="4" t="s">
        <v>13</v>
      </c>
      <c r="H4" s="0" t="str">
        <f aca="false">IF(OR(NOT(ISNUMBER(F4)),NOT(ISNUMBER(C4))),"n/a",IF(AND(ISNUMBER(E4),C4&lt;E4),"BELOW zone",IF(C4&lt;=F4,"IN ZONE","ABOVE zone")))</f>
        <v>IN ZONE</v>
      </c>
      <c r="I4" s="5" t="s">
        <v>14</v>
      </c>
      <c r="J4" s="6" t="s">
        <v>15</v>
      </c>
      <c r="K4" s="5" t="s">
        <v>16</v>
      </c>
    </row>
    <row r="5" customFormat="false" ht="15" hidden="false" customHeight="false" outlineLevel="0" collapsed="false">
      <c r="A5" s="0" t="n">
        <v>2</v>
      </c>
      <c r="B5" s="0" t="s">
        <v>17</v>
      </c>
      <c r="C5" s="0" t="n">
        <v>189</v>
      </c>
      <c r="D5" s="3" t="n">
        <v>0.005</v>
      </c>
      <c r="E5" s="0" t="n">
        <v>186.7</v>
      </c>
      <c r="F5" s="0" t="n">
        <v>192.4</v>
      </c>
      <c r="G5" s="4" t="s">
        <v>18</v>
      </c>
      <c r="H5" s="0" t="str">
        <f aca="false">IF(OR(NOT(ISNUMBER(F5)),NOT(ISNUMBER(C5))),"n/a",IF(AND(ISNUMBER(E5),C5&lt;E5),"BELOW zone",IF(C5&lt;=F5,"IN ZONE","ABOVE zone")))</f>
        <v>IN ZONE</v>
      </c>
      <c r="I5" s="5" t="s">
        <v>19</v>
      </c>
      <c r="J5" s="6" t="s">
        <v>15</v>
      </c>
      <c r="K5" s="5" t="s">
        <v>20</v>
      </c>
    </row>
    <row r="6" customFormat="false" ht="28.35" hidden="false" customHeight="false" outlineLevel="0" collapsed="false">
      <c r="A6" s="0" t="n">
        <v>3</v>
      </c>
      <c r="B6" s="0" t="s">
        <v>21</v>
      </c>
      <c r="C6" s="0" t="n">
        <v>20.99</v>
      </c>
      <c r="D6" s="3" t="n">
        <v>0.06</v>
      </c>
      <c r="F6" s="0" t="n">
        <v>20.5</v>
      </c>
      <c r="G6" s="4" t="s">
        <v>22</v>
      </c>
      <c r="H6" s="0" t="str">
        <f aca="false">IF(OR(NOT(ISNUMBER(F6)),NOT(ISNUMBER(C6))),"n/a",IF(AND(ISNUMBER(E6),C6&lt;E6),"BELOW zone",IF(C6&lt;=F6,"IN ZONE","ABOVE zone")))</f>
        <v>ABOVE zone</v>
      </c>
      <c r="I6" s="5"/>
      <c r="J6" s="7" t="s">
        <v>23</v>
      </c>
      <c r="K6" s="5" t="s">
        <v>24</v>
      </c>
    </row>
    <row r="7" customFormat="false" ht="15" hidden="false" customHeight="false" outlineLevel="0" collapsed="false">
      <c r="A7" s="0" t="n">
        <v>4</v>
      </c>
      <c r="B7" s="0" t="s">
        <v>25</v>
      </c>
      <c r="C7" s="0" t="n">
        <v>381.45</v>
      </c>
      <c r="D7" s="3" t="n">
        <v>0.07</v>
      </c>
      <c r="E7" s="0" t="n">
        <v>380</v>
      </c>
      <c r="F7" s="0" t="n">
        <v>381</v>
      </c>
      <c r="G7" s="4" t="s">
        <v>26</v>
      </c>
      <c r="H7" s="0" t="str">
        <f aca="false">IF(OR(NOT(ISNUMBER(F7)),NOT(ISNUMBER(C7))),"n/a",IF(AND(ISNUMBER(E7),C7&lt;E7),"BELOW zone",IF(C7&lt;=F7,"IN ZONE","ABOVE zone")))</f>
        <v>ABOVE zone</v>
      </c>
      <c r="I7" s="5"/>
      <c r="J7" s="7" t="s">
        <v>23</v>
      </c>
      <c r="K7" s="5" t="s">
        <v>27</v>
      </c>
    </row>
    <row r="8" customFormat="false" ht="15" hidden="false" customHeight="false" outlineLevel="0" collapsed="false">
      <c r="A8" s="0" t="n">
        <v>5</v>
      </c>
      <c r="B8" s="0" t="s">
        <v>28</v>
      </c>
      <c r="C8" s="0" t="n">
        <v>1170</v>
      </c>
      <c r="D8" s="3"/>
      <c r="E8" s="0" t="n">
        <v>1140</v>
      </c>
      <c r="F8" s="0" t="n">
        <v>1180</v>
      </c>
      <c r="G8" s="4" t="s">
        <v>29</v>
      </c>
      <c r="H8" s="0" t="str">
        <f aca="false">IF(OR(NOT(ISNUMBER(F8)),NOT(ISNUMBER(C8))),"n/a",IF(AND(ISNUMBER(E8),C8&lt;E8),"BELOW zone",IF(C8&lt;=F8,"IN ZONE","ABOVE zone")))</f>
        <v>IN ZONE</v>
      </c>
      <c r="I8" s="5"/>
      <c r="J8" s="7" t="s">
        <v>30</v>
      </c>
      <c r="K8" s="5" t="s">
        <v>31</v>
      </c>
    </row>
    <row r="9" customFormat="false" ht="15" hidden="false" customHeight="false" outlineLevel="0" collapsed="false">
      <c r="A9" s="0" t="n">
        <v>6</v>
      </c>
      <c r="B9" s="0" t="s">
        <v>32</v>
      </c>
      <c r="C9" s="0" t="n">
        <v>674</v>
      </c>
      <c r="D9" s="3"/>
      <c r="F9" s="0" t="n">
        <v>660</v>
      </c>
      <c r="G9" s="4" t="s">
        <v>33</v>
      </c>
      <c r="H9" s="0" t="str">
        <f aca="false">IF(OR(NOT(ISNUMBER(F9)),NOT(ISNUMBER(C9))),"n/a",IF(AND(ISNUMBER(E9),C9&lt;E9),"BELOW zone",IF(C9&lt;=F9,"IN ZONE","ABOVE zone")))</f>
        <v>ABOVE zone</v>
      </c>
      <c r="I9" s="5" t="s">
        <v>34</v>
      </c>
      <c r="J9" s="7" t="s">
        <v>35</v>
      </c>
      <c r="K9" s="5" t="s">
        <v>36</v>
      </c>
    </row>
    <row r="10" customFormat="false" ht="15" hidden="false" customHeight="false" outlineLevel="0" collapsed="false">
      <c r="A10" s="0" t="n">
        <v>7</v>
      </c>
      <c r="B10" s="0" t="s">
        <v>37</v>
      </c>
      <c r="C10" s="0" t="n">
        <v>338.6</v>
      </c>
      <c r="D10" s="3"/>
      <c r="F10" s="0" t="n">
        <v>330</v>
      </c>
      <c r="G10" s="4" t="s">
        <v>38</v>
      </c>
      <c r="H10" s="0" t="str">
        <f aca="false">IF(OR(NOT(ISNUMBER(F10)),NOT(ISNUMBER(C10))),"n/a",IF(AND(ISNUMBER(E10),C10&lt;E10),"BELOW zone",IF(C10&lt;=F10,"IN ZONE","ABOVE zone")))</f>
        <v>ABOVE zone</v>
      </c>
      <c r="I10" s="5"/>
      <c r="J10" s="7" t="s">
        <v>39</v>
      </c>
      <c r="K10" s="5" t="s">
        <v>40</v>
      </c>
    </row>
    <row r="11" customFormat="false" ht="15" hidden="false" customHeight="false" outlineLevel="0" collapsed="false">
      <c r="A11" s="0" t="n">
        <v>8</v>
      </c>
      <c r="B11" s="0" t="s">
        <v>41</v>
      </c>
      <c r="C11" s="0" t="n">
        <v>286</v>
      </c>
      <c r="D11" s="3" t="n">
        <v>0.054</v>
      </c>
      <c r="G11" s="4" t="s">
        <v>42</v>
      </c>
      <c r="H11" s="0" t="str">
        <f aca="false">IF(OR(NOT(ISNUMBER(F11)),NOT(ISNUMBER(C11))),"n/a",IF(AND(ISNUMBER(E11),C11&lt;E11),"BELOW zone",IF(C11&lt;=F11,"IN ZONE","ABOVE zone")))</f>
        <v>n/a</v>
      </c>
      <c r="I11" s="5"/>
      <c r="J11" s="7" t="s">
        <v>43</v>
      </c>
      <c r="K11" s="5" t="s">
        <v>44</v>
      </c>
    </row>
    <row r="12" customFormat="false" ht="15" hidden="false" customHeight="false" outlineLevel="0" collapsed="false">
      <c r="A12" s="0" t="n">
        <v>9</v>
      </c>
      <c r="B12" s="0" t="s">
        <v>45</v>
      </c>
      <c r="C12" s="0" t="n">
        <v>3160</v>
      </c>
      <c r="D12" s="3" t="n">
        <v>0.034</v>
      </c>
      <c r="E12" s="0" t="n">
        <v>2800</v>
      </c>
      <c r="F12" s="0" t="n">
        <v>3100</v>
      </c>
      <c r="G12" s="4" t="s">
        <v>46</v>
      </c>
      <c r="H12" s="0" t="str">
        <f aca="false">IF(OR(NOT(ISNUMBER(F12)),NOT(ISNUMBER(C12))),"n/a",IF(AND(ISNUMBER(E12),C12&lt;E12),"BELOW zone",IF(C12&lt;=F12,"IN ZONE","ABOVE zone")))</f>
        <v>ABOVE zone</v>
      </c>
      <c r="I12" s="5"/>
      <c r="J12" s="7" t="s">
        <v>47</v>
      </c>
      <c r="K12" s="5" t="s">
        <v>48</v>
      </c>
    </row>
    <row r="14" customFormat="false" ht="15" hidden="false" customHeight="false" outlineLevel="0" collapsed="false">
      <c r="B14" s="1" t="s">
        <v>49</v>
      </c>
    </row>
    <row r="15" customFormat="false" ht="15" hidden="false" customHeight="false" outlineLevel="0" collapsed="false">
      <c r="B15" s="0" t="s">
        <v>50</v>
      </c>
      <c r="I15" s="0" t="s">
        <v>51</v>
      </c>
      <c r="J15" s="0" t="s">
        <v>52</v>
      </c>
      <c r="K15" s="5" t="s">
        <v>53</v>
      </c>
    </row>
    <row r="16" customFormat="false" ht="41.75" hidden="false" customHeight="false" outlineLevel="0" collapsed="false">
      <c r="B16" s="0" t="s">
        <v>54</v>
      </c>
      <c r="J16" s="0" t="s">
        <v>55</v>
      </c>
      <c r="K16" s="5" t="s">
        <v>56</v>
      </c>
    </row>
    <row r="17" customFormat="false" ht="15" hidden="false" customHeight="true" outlineLevel="0" collapsed="false">
      <c r="B17" s="8" t="s">
        <v>57</v>
      </c>
      <c r="C17" s="8"/>
      <c r="D17" s="8"/>
      <c r="E17" s="8"/>
      <c r="F17" s="8"/>
      <c r="G17" s="8"/>
      <c r="H17" s="8"/>
      <c r="I17" s="8"/>
      <c r="J17" s="8"/>
      <c r="K17" s="8"/>
    </row>
  </sheetData>
  <mergeCells count="1">
    <mergeCell ref="B17:K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8" min="5" style="0" width="10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9"/>
    <col collapsed="false" customWidth="true" hidden="false" outlineLevel="0" max="15" min="15" style="0" width="40"/>
  </cols>
  <sheetData>
    <row r="1" customFormat="false" ht="15" hidden="false" customHeight="false" outlineLevel="0" collapsed="false">
      <c r="A1" s="1" t="s">
        <v>58</v>
      </c>
    </row>
    <row r="2" customFormat="false" ht="15" hidden="false" customHeight="false" outlineLevel="0" collapsed="false">
      <c r="A2" s="0" t="s">
        <v>59</v>
      </c>
      <c r="C2" s="0" t="n">
        <f aca="false">COUNTIF(M4:M131,"IN ZONE")</f>
        <v>33</v>
      </c>
      <c r="D2" s="0" t="s">
        <v>60</v>
      </c>
      <c r="E2" s="0" t="n">
        <f aca="false">COUNTIF(M4:M131,"BELOW zone")</f>
        <v>35</v>
      </c>
      <c r="F2" s="0" t="s">
        <v>61</v>
      </c>
      <c r="G2" s="0" t="n">
        <f aca="false">COUNTIFS(M4:M131,"IN ZONE",N4:N131,"")</f>
        <v>15</v>
      </c>
    </row>
    <row r="3" customFormat="false" ht="28.35" hidden="false" customHeight="false" outlineLevel="0" collapsed="false">
      <c r="A3" s="2" t="s">
        <v>62</v>
      </c>
      <c r="B3" s="2" t="s">
        <v>63</v>
      </c>
      <c r="C3" s="2" t="s">
        <v>64</v>
      </c>
      <c r="D3" s="2" t="s">
        <v>65</v>
      </c>
      <c r="E3" s="2" t="s">
        <v>66</v>
      </c>
      <c r="F3" s="2" t="s">
        <v>67</v>
      </c>
      <c r="G3" s="2" t="s">
        <v>68</v>
      </c>
      <c r="H3" s="2" t="s">
        <v>69</v>
      </c>
      <c r="I3" s="2" t="s">
        <v>70</v>
      </c>
      <c r="J3" s="2" t="s">
        <v>71</v>
      </c>
      <c r="K3" s="2" t="s">
        <v>72</v>
      </c>
      <c r="L3" s="2" t="s">
        <v>73</v>
      </c>
      <c r="M3" s="2" t="s">
        <v>74</v>
      </c>
      <c r="N3" s="2" t="s">
        <v>75</v>
      </c>
      <c r="O3" s="2" t="s">
        <v>76</v>
      </c>
    </row>
    <row r="4" customFormat="false" ht="15" hidden="false" customHeight="false" outlineLevel="0" collapsed="false">
      <c r="A4" s="0" t="s">
        <v>77</v>
      </c>
      <c r="B4" s="0" t="s">
        <v>78</v>
      </c>
      <c r="C4" s="0" t="s">
        <v>79</v>
      </c>
      <c r="D4" s="0" t="s">
        <v>79</v>
      </c>
      <c r="E4" s="0" t="n">
        <v>214</v>
      </c>
      <c r="F4" s="0" t="n">
        <v>196.5</v>
      </c>
      <c r="G4" s="0" t="n">
        <v>214</v>
      </c>
      <c r="H4" s="0" t="n">
        <v>315</v>
      </c>
      <c r="I4" s="0" t="s">
        <v>80</v>
      </c>
      <c r="J4" s="0" t="s">
        <v>81</v>
      </c>
      <c r="K4" s="0" t="n">
        <v>206.5</v>
      </c>
      <c r="L4" s="3" t="n">
        <f aca="false">IF(AND(ISNUMBER(K4),ISNUMBER(G4)),K4/G4-1,"")</f>
        <v>-0.0350467289719626</v>
      </c>
      <c r="M4" s="0" t="str">
        <f aca="false">IF(OR(NOT(ISNUMBER(K4)),NOT(ISNUMBER(F4))),"no zone",IF(K4&lt;F4,"BELOW zone",IF(K4&lt;=G4,"IN ZONE","ABOVE zone")))</f>
        <v>IN ZONE</v>
      </c>
      <c r="N4" s="0" t="str">
        <f aca="false">IF(O4="","","Yes")</f>
        <v/>
      </c>
    </row>
    <row r="5" customFormat="false" ht="15" hidden="false" customHeight="false" outlineLevel="0" collapsed="false">
      <c r="A5" s="0" t="s">
        <v>77</v>
      </c>
      <c r="B5" s="0" t="s">
        <v>78</v>
      </c>
      <c r="C5" s="0" t="s">
        <v>82</v>
      </c>
      <c r="D5" s="0" t="s">
        <v>83</v>
      </c>
      <c r="E5" s="0" t="n">
        <v>785</v>
      </c>
      <c r="I5" s="0" t="s">
        <v>84</v>
      </c>
      <c r="K5" s="0" t="n">
        <v>806</v>
      </c>
      <c r="L5" s="3" t="str">
        <f aca="false">IF(AND(ISNUMBER(K5),ISNUMBER(G5)),K5/G5-1,"")</f>
        <v/>
      </c>
      <c r="M5" s="0" t="str">
        <f aca="false">IF(OR(NOT(ISNUMBER(K5)),NOT(ISNUMBER(F5))),"no zone",IF(K5&lt;F5,"BELOW zone",IF(K5&lt;=G5,"IN ZONE","ABOVE zone")))</f>
        <v>no zone</v>
      </c>
      <c r="N5" s="0" t="str">
        <f aca="false">IF(O5="","","Yes")</f>
        <v/>
      </c>
    </row>
    <row r="6" customFormat="false" ht="15" hidden="false" customHeight="false" outlineLevel="0" collapsed="false">
      <c r="A6" s="0" t="s">
        <v>77</v>
      </c>
      <c r="B6" s="0" t="s">
        <v>78</v>
      </c>
      <c r="C6" s="0" t="s">
        <v>85</v>
      </c>
      <c r="D6" s="0" t="s">
        <v>86</v>
      </c>
      <c r="E6" s="0" t="n">
        <v>906</v>
      </c>
      <c r="I6" s="0" t="s">
        <v>87</v>
      </c>
      <c r="K6" s="0" t="n">
        <v>1134</v>
      </c>
      <c r="L6" s="3" t="str">
        <f aca="false">IF(AND(ISNUMBER(K6),ISNUMBER(G6)),K6/G6-1,"")</f>
        <v/>
      </c>
      <c r="M6" s="0" t="str">
        <f aca="false">IF(OR(NOT(ISNUMBER(K6)),NOT(ISNUMBER(F6))),"no zone",IF(K6&lt;F6,"BELOW zone",IF(K6&lt;=G6,"IN ZONE","ABOVE zone")))</f>
        <v>no zone</v>
      </c>
      <c r="N6" s="0" t="str">
        <f aca="false">IF(O6="","","Yes")</f>
        <v/>
      </c>
    </row>
    <row r="7" customFormat="false" ht="15" hidden="false" customHeight="false" outlineLevel="0" collapsed="false">
      <c r="A7" s="0" t="s">
        <v>77</v>
      </c>
      <c r="B7" s="0" t="s">
        <v>78</v>
      </c>
      <c r="C7" s="0" t="s">
        <v>88</v>
      </c>
      <c r="D7" s="0" t="s">
        <v>88</v>
      </c>
      <c r="E7" s="0" t="n">
        <v>812</v>
      </c>
      <c r="F7" s="0" t="n">
        <v>807</v>
      </c>
      <c r="G7" s="0" t="n">
        <v>812</v>
      </c>
      <c r="H7" s="0" t="n">
        <v>1170</v>
      </c>
      <c r="I7" s="0" t="s">
        <v>89</v>
      </c>
      <c r="J7" s="0" t="s">
        <v>90</v>
      </c>
      <c r="K7" s="0" t="n">
        <v>786</v>
      </c>
      <c r="L7" s="3" t="n">
        <f aca="false">IF(AND(ISNUMBER(K7),ISNUMBER(G7)),K7/G7-1,"")</f>
        <v>-0.0320197044334976</v>
      </c>
      <c r="M7" s="0" t="str">
        <f aca="false">IF(OR(NOT(ISNUMBER(K7)),NOT(ISNUMBER(F7))),"no zone",IF(K7&lt;F7,"BELOW zone",IF(K7&lt;=G7,"IN ZONE","ABOVE zone")))</f>
        <v>BELOW zone</v>
      </c>
      <c r="N7" s="0" t="str">
        <f aca="false">IF(O7="","","Yes")</f>
        <v/>
      </c>
    </row>
    <row r="8" customFormat="false" ht="15" hidden="false" customHeight="false" outlineLevel="0" collapsed="false">
      <c r="A8" s="0" t="s">
        <v>77</v>
      </c>
      <c r="B8" s="0" t="s">
        <v>78</v>
      </c>
      <c r="C8" s="0" t="s">
        <v>91</v>
      </c>
      <c r="D8" s="0" t="s">
        <v>92</v>
      </c>
      <c r="E8" s="0" t="n">
        <v>400</v>
      </c>
      <c r="I8" s="0" t="s">
        <v>93</v>
      </c>
      <c r="K8" s="0" t="n">
        <v>451</v>
      </c>
      <c r="L8" s="3" t="str">
        <f aca="false">IF(AND(ISNUMBER(K8),ISNUMBER(G8)),K8/G8-1,"")</f>
        <v/>
      </c>
      <c r="M8" s="0" t="str">
        <f aca="false">IF(OR(NOT(ISNUMBER(K8)),NOT(ISNUMBER(F8))),"no zone",IF(K8&lt;F8,"BELOW zone",IF(K8&lt;=G8,"IN ZONE","ABOVE zone")))</f>
        <v>no zone</v>
      </c>
      <c r="N8" s="0" t="str">
        <f aca="false">IF(O8="","","Yes")</f>
        <v/>
      </c>
    </row>
    <row r="9" customFormat="false" ht="15" hidden="false" customHeight="false" outlineLevel="0" collapsed="false">
      <c r="A9" s="0" t="s">
        <v>77</v>
      </c>
      <c r="B9" s="0" t="s">
        <v>78</v>
      </c>
      <c r="C9" s="0" t="s">
        <v>94</v>
      </c>
      <c r="D9" s="0" t="s">
        <v>95</v>
      </c>
      <c r="E9" s="0" t="n">
        <v>261.8</v>
      </c>
      <c r="H9" s="0" t="n">
        <v>288</v>
      </c>
      <c r="I9" s="0" t="s">
        <v>96</v>
      </c>
      <c r="J9" s="0" t="s">
        <v>97</v>
      </c>
      <c r="K9" s="0" t="n">
        <v>261.2</v>
      </c>
      <c r="L9" s="3" t="str">
        <f aca="false">IF(AND(ISNUMBER(K9),ISNUMBER(G9)),K9/G9-1,"")</f>
        <v/>
      </c>
      <c r="M9" s="0" t="str">
        <f aca="false">IF(OR(NOT(ISNUMBER(K9)),NOT(ISNUMBER(F9))),"no zone",IF(K9&lt;F9,"BELOW zone",IF(K9&lt;=G9,"IN ZONE","ABOVE zone")))</f>
        <v>no zone</v>
      </c>
      <c r="N9" s="0" t="str">
        <f aca="false">IF(O9="","","Yes")</f>
        <v/>
      </c>
    </row>
    <row r="10" customFormat="false" ht="15" hidden="false" customHeight="false" outlineLevel="0" collapsed="false">
      <c r="A10" s="0" t="s">
        <v>77</v>
      </c>
      <c r="B10" s="0" t="s">
        <v>78</v>
      </c>
      <c r="C10" s="0" t="s">
        <v>98</v>
      </c>
      <c r="D10" s="0" t="s">
        <v>99</v>
      </c>
      <c r="E10" s="0" t="n">
        <v>1513</v>
      </c>
      <c r="F10" s="0" t="n">
        <v>1510</v>
      </c>
      <c r="G10" s="0" t="n">
        <v>1513</v>
      </c>
      <c r="H10" s="0" t="n">
        <v>1884</v>
      </c>
      <c r="I10" s="0" t="s">
        <v>100</v>
      </c>
      <c r="J10" s="0" t="s">
        <v>101</v>
      </c>
      <c r="K10" s="0" t="n">
        <v>1433</v>
      </c>
      <c r="L10" s="3" t="n">
        <f aca="false">IF(AND(ISNUMBER(K10),ISNUMBER(G10)),K10/G10-1,"")</f>
        <v>-0.0528750826173166</v>
      </c>
      <c r="M10" s="0" t="str">
        <f aca="false">IF(OR(NOT(ISNUMBER(K10)),NOT(ISNUMBER(F10))),"no zone",IF(K10&lt;F10,"BELOW zone",IF(K10&lt;=G10,"IN ZONE","ABOVE zone")))</f>
        <v>BELOW zone</v>
      </c>
      <c r="N10" s="0" t="str">
        <f aca="false">IF(O10="","","Yes")</f>
        <v/>
      </c>
    </row>
    <row r="11" customFormat="false" ht="15" hidden="false" customHeight="false" outlineLevel="0" collapsed="false">
      <c r="A11" s="0" t="s">
        <v>77</v>
      </c>
      <c r="B11" s="0" t="s">
        <v>78</v>
      </c>
      <c r="C11" s="0" t="s">
        <v>102</v>
      </c>
      <c r="D11" s="0" t="s">
        <v>103</v>
      </c>
      <c r="E11" s="0" t="n">
        <v>82.4</v>
      </c>
      <c r="H11" s="0" t="n">
        <v>89.6</v>
      </c>
      <c r="I11" s="0" t="s">
        <v>104</v>
      </c>
      <c r="J11" s="0" t="s">
        <v>105</v>
      </c>
      <c r="K11" s="0" t="n">
        <v>84.21</v>
      </c>
      <c r="L11" s="3" t="str">
        <f aca="false">IF(AND(ISNUMBER(K11),ISNUMBER(G11)),K11/G11-1,"")</f>
        <v/>
      </c>
      <c r="M11" s="0" t="str">
        <f aca="false">IF(OR(NOT(ISNUMBER(K11)),NOT(ISNUMBER(F11))),"no zone",IF(K11&lt;F11,"BELOW zone",IF(K11&lt;=G11,"IN ZONE","ABOVE zone")))</f>
        <v>no zone</v>
      </c>
      <c r="N11" s="0" t="str">
        <f aca="false">IF(O11="","","Yes")</f>
        <v/>
      </c>
    </row>
    <row r="12" customFormat="false" ht="15" hidden="false" customHeight="false" outlineLevel="0" collapsed="false">
      <c r="A12" s="0" t="s">
        <v>77</v>
      </c>
      <c r="B12" s="0" t="s">
        <v>78</v>
      </c>
      <c r="C12" s="0" t="s">
        <v>106</v>
      </c>
      <c r="D12" s="0" t="s">
        <v>107</v>
      </c>
      <c r="E12" s="0" t="n">
        <v>1245</v>
      </c>
      <c r="H12" s="0" t="n">
        <v>1510</v>
      </c>
      <c r="I12" s="0" t="s">
        <v>108</v>
      </c>
      <c r="J12" s="0" t="s">
        <v>109</v>
      </c>
      <c r="K12" s="0" t="n">
        <v>1169</v>
      </c>
      <c r="L12" s="3" t="str">
        <f aca="false">IF(AND(ISNUMBER(K12),ISNUMBER(G12)),K12/G12-1,"")</f>
        <v/>
      </c>
      <c r="M12" s="0" t="str">
        <f aca="false">IF(OR(NOT(ISNUMBER(K12)),NOT(ISNUMBER(F12))),"no zone",IF(K12&lt;F12,"BELOW zone",IF(K12&lt;=G12,"IN ZONE","ABOVE zone")))</f>
        <v>no zone</v>
      </c>
      <c r="N12" s="0" t="str">
        <f aca="false">IF(O12="","","Yes")</f>
        <v/>
      </c>
    </row>
    <row r="13" customFormat="false" ht="15" hidden="false" customHeight="false" outlineLevel="0" collapsed="false">
      <c r="A13" s="0" t="s">
        <v>110</v>
      </c>
      <c r="B13" s="0" t="s">
        <v>111</v>
      </c>
      <c r="C13" s="0" t="s">
        <v>112</v>
      </c>
      <c r="D13" s="0" t="s">
        <v>113</v>
      </c>
      <c r="E13" s="0" t="n">
        <v>167.6</v>
      </c>
      <c r="F13" s="0" t="n">
        <v>162.3</v>
      </c>
      <c r="G13" s="0" t="n">
        <v>167.6</v>
      </c>
      <c r="K13" s="0" t="n">
        <v>163.05</v>
      </c>
      <c r="L13" s="3" t="n">
        <f aca="false">IF(AND(ISNUMBER(K13),ISNUMBER(G13)),K13/G13-1,"")</f>
        <v>-0.0271479713603817</v>
      </c>
      <c r="M13" s="0" t="str">
        <f aca="false">IF(OR(NOT(ISNUMBER(K13)),NOT(ISNUMBER(F13))),"no zone",IF(K13&lt;F13,"BELOW zone",IF(K13&lt;=G13,"IN ZONE","ABOVE zone")))</f>
        <v>IN ZONE</v>
      </c>
      <c r="N13" s="0" t="str">
        <f aca="false">IF(O13="","","Yes")</f>
        <v>Yes</v>
      </c>
      <c r="O13" s="4" t="s">
        <v>114</v>
      </c>
    </row>
    <row r="14" customFormat="false" ht="15" hidden="false" customHeight="false" outlineLevel="0" collapsed="false">
      <c r="A14" s="0" t="s">
        <v>110</v>
      </c>
      <c r="B14" s="0" t="s">
        <v>115</v>
      </c>
      <c r="C14" s="0" t="s">
        <v>116</v>
      </c>
      <c r="D14" s="0" t="s">
        <v>117</v>
      </c>
      <c r="E14" s="0" t="n">
        <v>650.8</v>
      </c>
      <c r="F14" s="0" t="n">
        <v>599.8</v>
      </c>
      <c r="G14" s="0" t="n">
        <v>650.8</v>
      </c>
      <c r="K14" s="0" t="n">
        <v>660</v>
      </c>
      <c r="L14" s="3" t="n">
        <f aca="false">IF(AND(ISNUMBER(K14),ISNUMBER(G14)),K14/G14-1,"")</f>
        <v>0.0141364474492933</v>
      </c>
      <c r="M14" s="0" t="str">
        <f aca="false">IF(OR(NOT(ISNUMBER(K14)),NOT(ISNUMBER(F14))),"no zone",IF(K14&lt;F14,"BELOW zone",IF(K14&lt;=G14,"IN ZONE","ABOVE zone")))</f>
        <v>ABOVE zone</v>
      </c>
      <c r="N14" s="0" t="str">
        <f aca="false">IF(O14="","","Yes")</f>
        <v>Yes</v>
      </c>
      <c r="O14" s="4" t="s">
        <v>118</v>
      </c>
    </row>
    <row r="15" customFormat="false" ht="15" hidden="false" customHeight="false" outlineLevel="0" collapsed="false">
      <c r="A15" s="0" t="s">
        <v>110</v>
      </c>
      <c r="B15" s="0" t="s">
        <v>119</v>
      </c>
      <c r="C15" s="0" t="s">
        <v>120</v>
      </c>
      <c r="D15" s="0" t="s">
        <v>121</v>
      </c>
      <c r="E15" s="0" t="n">
        <v>333</v>
      </c>
      <c r="F15" s="0" t="n">
        <v>330.1</v>
      </c>
      <c r="G15" s="0" t="n">
        <v>333</v>
      </c>
      <c r="H15" s="0" t="n">
        <v>575</v>
      </c>
      <c r="I15" s="0" t="s">
        <v>122</v>
      </c>
      <c r="K15" s="0" t="n">
        <v>308.7</v>
      </c>
      <c r="L15" s="3" t="n">
        <f aca="false">IF(AND(ISNUMBER(K15),ISNUMBER(G15)),K15/G15-1,"")</f>
        <v>-0.072972972972973</v>
      </c>
      <c r="M15" s="0" t="str">
        <f aca="false">IF(OR(NOT(ISNUMBER(K15)),NOT(ISNUMBER(F15))),"no zone",IF(K15&lt;F15,"BELOW zone",IF(K15&lt;=G15,"IN ZONE","ABOVE zone")))</f>
        <v>BELOW zone</v>
      </c>
      <c r="N15" s="0" t="str">
        <f aca="false">IF(O15="","","Yes")</f>
        <v>Yes</v>
      </c>
      <c r="O15" s="4" t="s">
        <v>123</v>
      </c>
    </row>
    <row r="16" customFormat="false" ht="15" hidden="false" customHeight="false" outlineLevel="0" collapsed="false">
      <c r="A16" s="0" t="s">
        <v>110</v>
      </c>
      <c r="B16" s="0" t="s">
        <v>124</v>
      </c>
      <c r="C16" s="0" t="s">
        <v>125</v>
      </c>
      <c r="D16" s="0" t="s">
        <v>126</v>
      </c>
      <c r="E16" s="0" t="n">
        <v>350</v>
      </c>
      <c r="F16" s="0" t="n">
        <v>345.6</v>
      </c>
      <c r="G16" s="0" t="n">
        <v>350</v>
      </c>
      <c r="K16" s="0" t="n">
        <v>377</v>
      </c>
      <c r="L16" s="3" t="n">
        <f aca="false">IF(AND(ISNUMBER(K16),ISNUMBER(G16)),K16/G16-1,"")</f>
        <v>0.0771428571428572</v>
      </c>
      <c r="M16" s="0" t="str">
        <f aca="false">IF(OR(NOT(ISNUMBER(K16)),NOT(ISNUMBER(F16))),"no zone",IF(K16&lt;F16,"BELOW zone",IF(K16&lt;=G16,"IN ZONE","ABOVE zone")))</f>
        <v>ABOVE zone</v>
      </c>
      <c r="N16" s="0" t="str">
        <f aca="false">IF(O16="","","Yes")</f>
        <v/>
      </c>
    </row>
    <row r="17" customFormat="false" ht="15" hidden="false" customHeight="false" outlineLevel="0" collapsed="false">
      <c r="A17" s="0" t="s">
        <v>110</v>
      </c>
      <c r="B17" s="0" t="s">
        <v>127</v>
      </c>
      <c r="C17" s="0" t="s">
        <v>128</v>
      </c>
      <c r="D17" s="0" t="s">
        <v>129</v>
      </c>
      <c r="E17" s="0" t="n">
        <v>513</v>
      </c>
      <c r="F17" s="0" t="n">
        <v>503.2</v>
      </c>
      <c r="G17" s="0" t="n">
        <v>513</v>
      </c>
      <c r="K17" s="0" t="n">
        <v>531.5</v>
      </c>
      <c r="L17" s="3" t="n">
        <f aca="false">IF(AND(ISNUMBER(K17),ISNUMBER(G17)),K17/G17-1,"")</f>
        <v>0.0360623781676412</v>
      </c>
      <c r="M17" s="0" t="str">
        <f aca="false">IF(OR(NOT(ISNUMBER(K17)),NOT(ISNUMBER(F17))),"no zone",IF(K17&lt;F17,"BELOW zone",IF(K17&lt;=G17,"IN ZONE","ABOVE zone")))</f>
        <v>ABOVE zone</v>
      </c>
      <c r="N17" s="0" t="str">
        <f aca="false">IF(O17="","","Yes")</f>
        <v>Yes</v>
      </c>
      <c r="O17" s="4" t="s">
        <v>130</v>
      </c>
    </row>
    <row r="18" customFormat="false" ht="15" hidden="false" customHeight="false" outlineLevel="0" collapsed="false">
      <c r="A18" s="0" t="s">
        <v>110</v>
      </c>
      <c r="B18" s="0" t="s">
        <v>127</v>
      </c>
      <c r="C18" s="0" t="s">
        <v>131</v>
      </c>
      <c r="D18" s="0" t="s">
        <v>132</v>
      </c>
      <c r="E18" s="0" t="n">
        <v>7950</v>
      </c>
      <c r="F18" s="0" t="n">
        <v>7300</v>
      </c>
      <c r="G18" s="0" t="n">
        <v>7950</v>
      </c>
      <c r="K18" s="0" t="n">
        <v>7790</v>
      </c>
      <c r="L18" s="3" t="n">
        <f aca="false">IF(AND(ISNUMBER(K18),ISNUMBER(G18)),K18/G18-1,"")</f>
        <v>-0.020125786163522</v>
      </c>
      <c r="M18" s="0" t="str">
        <f aca="false">IF(OR(NOT(ISNUMBER(K18)),NOT(ISNUMBER(F18))),"no zone",IF(K18&lt;F18,"BELOW zone",IF(K18&lt;=G18,"IN ZONE","ABOVE zone")))</f>
        <v>IN ZONE</v>
      </c>
      <c r="N18" s="0" t="str">
        <f aca="false">IF(O18="","","Yes")</f>
        <v>Yes</v>
      </c>
      <c r="O18" s="4" t="s">
        <v>133</v>
      </c>
    </row>
    <row r="19" customFormat="false" ht="15" hidden="false" customHeight="false" outlineLevel="0" collapsed="false">
      <c r="A19" s="0" t="s">
        <v>110</v>
      </c>
      <c r="B19" s="0" t="s">
        <v>134</v>
      </c>
      <c r="C19" s="0" t="s">
        <v>135</v>
      </c>
      <c r="D19" s="0" t="s">
        <v>136</v>
      </c>
      <c r="E19" s="0" t="n">
        <v>1666</v>
      </c>
      <c r="F19" s="0" t="n">
        <v>1528</v>
      </c>
      <c r="G19" s="0" t="n">
        <v>1666</v>
      </c>
      <c r="K19" s="0" t="n">
        <v>1723.6</v>
      </c>
      <c r="L19" s="3" t="n">
        <f aca="false">IF(AND(ISNUMBER(K19),ISNUMBER(G19)),K19/G19-1,"")</f>
        <v>0.0345738295318128</v>
      </c>
      <c r="M19" s="0" t="str">
        <f aca="false">IF(OR(NOT(ISNUMBER(K19)),NOT(ISNUMBER(F19))),"no zone",IF(K19&lt;F19,"BELOW zone",IF(K19&lt;=G19,"IN ZONE","ABOVE zone")))</f>
        <v>ABOVE zone</v>
      </c>
      <c r="N19" s="0" t="str">
        <f aca="false">IF(O19="","","Yes")</f>
        <v/>
      </c>
    </row>
    <row r="20" customFormat="false" ht="15" hidden="false" customHeight="false" outlineLevel="0" collapsed="false">
      <c r="A20" s="0" t="s">
        <v>110</v>
      </c>
      <c r="B20" s="0" t="s">
        <v>137</v>
      </c>
      <c r="C20" s="0" t="s">
        <v>138</v>
      </c>
      <c r="D20" s="0" t="s">
        <v>139</v>
      </c>
      <c r="E20" s="0" t="n">
        <v>136</v>
      </c>
      <c r="F20" s="0" t="n">
        <v>126.9</v>
      </c>
      <c r="G20" s="0" t="n">
        <v>136</v>
      </c>
      <c r="H20" s="0" t="n">
        <v>225</v>
      </c>
      <c r="I20" s="0" t="s">
        <v>140</v>
      </c>
      <c r="K20" s="0" t="n">
        <v>128.41</v>
      </c>
      <c r="L20" s="3" t="n">
        <f aca="false">IF(AND(ISNUMBER(K20),ISNUMBER(G20)),K20/G20-1,"")</f>
        <v>-0.0558088235294117</v>
      </c>
      <c r="M20" s="0" t="str">
        <f aca="false">IF(OR(NOT(ISNUMBER(K20)),NOT(ISNUMBER(F20))),"no zone",IF(K20&lt;F20,"BELOW zone",IF(K20&lt;=G20,"IN ZONE","ABOVE zone")))</f>
        <v>IN ZONE</v>
      </c>
      <c r="N20" s="0" t="str">
        <f aca="false">IF(O20="","","Yes")</f>
        <v>Yes</v>
      </c>
      <c r="O20" s="4" t="s">
        <v>141</v>
      </c>
    </row>
    <row r="21" customFormat="false" ht="15" hidden="false" customHeight="false" outlineLevel="0" collapsed="false">
      <c r="A21" s="0" t="s">
        <v>110</v>
      </c>
      <c r="B21" s="0" t="s">
        <v>142</v>
      </c>
      <c r="C21" s="0" t="s">
        <v>143</v>
      </c>
      <c r="D21" s="0" t="s">
        <v>144</v>
      </c>
      <c r="E21" s="0" t="n">
        <v>27.49</v>
      </c>
      <c r="F21" s="0" t="n">
        <v>23.05</v>
      </c>
      <c r="G21" s="0" t="n">
        <v>27.49</v>
      </c>
      <c r="K21" s="0" t="n">
        <v>28.53</v>
      </c>
      <c r="L21" s="3" t="n">
        <f aca="false">IF(AND(ISNUMBER(K21),ISNUMBER(G21)),K21/G21-1,"")</f>
        <v>0.037831938886868</v>
      </c>
      <c r="M21" s="0" t="str">
        <f aca="false">IF(OR(NOT(ISNUMBER(K21)),NOT(ISNUMBER(F21))),"no zone",IF(K21&lt;F21,"BELOW zone",IF(K21&lt;=G21,"IN ZONE","ABOVE zone")))</f>
        <v>ABOVE zone</v>
      </c>
      <c r="N21" s="0" t="str">
        <f aca="false">IF(O21="","","Yes")</f>
        <v>Yes</v>
      </c>
      <c r="O21" s="4" t="s">
        <v>145</v>
      </c>
    </row>
    <row r="22" customFormat="false" ht="15" hidden="false" customHeight="false" outlineLevel="0" collapsed="false">
      <c r="A22" s="0" t="s">
        <v>110</v>
      </c>
      <c r="B22" s="0" t="s">
        <v>146</v>
      </c>
      <c r="C22" s="0" t="s">
        <v>147</v>
      </c>
      <c r="D22" s="0" t="s">
        <v>17</v>
      </c>
      <c r="E22" s="0" t="n">
        <v>192.4</v>
      </c>
      <c r="F22" s="0" t="n">
        <v>186.7</v>
      </c>
      <c r="G22" s="0" t="n">
        <v>192.4</v>
      </c>
      <c r="K22" s="0" t="n">
        <v>189</v>
      </c>
      <c r="L22" s="3" t="n">
        <f aca="false">IF(AND(ISNUMBER(K22),ISNUMBER(G22)),K22/G22-1,"")</f>
        <v>-0.0176715176715178</v>
      </c>
      <c r="M22" s="0" t="str">
        <f aca="false">IF(OR(NOT(ISNUMBER(K22)),NOT(ISNUMBER(F22))),"no zone",IF(K22&lt;F22,"BELOW zone",IF(K22&lt;=G22,"IN ZONE","ABOVE zone")))</f>
        <v>IN ZONE</v>
      </c>
      <c r="N22" s="0" t="str">
        <f aca="false">IF(O22="","","Yes")</f>
        <v>Yes</v>
      </c>
      <c r="O22" s="4" t="s">
        <v>148</v>
      </c>
    </row>
    <row r="23" customFormat="false" ht="15" hidden="false" customHeight="false" outlineLevel="0" collapsed="false">
      <c r="A23" s="0" t="s">
        <v>110</v>
      </c>
      <c r="B23" s="0" t="s">
        <v>149</v>
      </c>
      <c r="C23" s="0" t="s">
        <v>150</v>
      </c>
      <c r="D23" s="0" t="s">
        <v>151</v>
      </c>
      <c r="E23" s="0" t="n">
        <v>99</v>
      </c>
      <c r="F23" s="0" t="n">
        <v>97</v>
      </c>
      <c r="G23" s="0" t="n">
        <v>99</v>
      </c>
      <c r="H23" s="0" t="n">
        <v>115</v>
      </c>
      <c r="I23" s="0" t="s">
        <v>152</v>
      </c>
      <c r="J23" s="0" t="s">
        <v>153</v>
      </c>
      <c r="K23" s="0" t="n">
        <v>95.11</v>
      </c>
      <c r="L23" s="3" t="n">
        <f aca="false">IF(AND(ISNUMBER(K23),ISNUMBER(G23)),K23/G23-1,"")</f>
        <v>-0.0392929292929293</v>
      </c>
      <c r="M23" s="0" t="str">
        <f aca="false">IF(OR(NOT(ISNUMBER(K23)),NOT(ISNUMBER(F23))),"no zone",IF(K23&lt;F23,"BELOW zone",IF(K23&lt;=G23,"IN ZONE","ABOVE zone")))</f>
        <v>BELOW zone</v>
      </c>
      <c r="N23" s="0" t="str">
        <f aca="false">IF(O23="","","Yes")</f>
        <v/>
      </c>
    </row>
    <row r="24" customFormat="false" ht="15" hidden="false" customHeight="false" outlineLevel="0" collapsed="false">
      <c r="A24" s="0" t="s">
        <v>110</v>
      </c>
      <c r="B24" s="0" t="s">
        <v>149</v>
      </c>
      <c r="C24" s="0" t="s">
        <v>154</v>
      </c>
      <c r="D24" s="0" t="s">
        <v>155</v>
      </c>
      <c r="E24" s="0" t="n">
        <v>172</v>
      </c>
      <c r="F24" s="0" t="n">
        <v>167</v>
      </c>
      <c r="G24" s="0" t="n">
        <v>172</v>
      </c>
      <c r="K24" s="0" t="n">
        <v>157</v>
      </c>
      <c r="L24" s="3" t="n">
        <f aca="false">IF(AND(ISNUMBER(K24),ISNUMBER(G24)),K24/G24-1,"")</f>
        <v>-0.0872093023255814</v>
      </c>
      <c r="M24" s="0" t="str">
        <f aca="false">IF(OR(NOT(ISNUMBER(K24)),NOT(ISNUMBER(F24))),"no zone",IF(K24&lt;F24,"BELOW zone",IF(K24&lt;=G24,"IN ZONE","ABOVE zone")))</f>
        <v>BELOW zone</v>
      </c>
      <c r="N24" s="0" t="str">
        <f aca="false">IF(O24="","","Yes")</f>
        <v/>
      </c>
    </row>
    <row r="25" customFormat="false" ht="15" hidden="false" customHeight="false" outlineLevel="0" collapsed="false">
      <c r="A25" s="0" t="s">
        <v>110</v>
      </c>
      <c r="B25" s="0" t="s">
        <v>149</v>
      </c>
      <c r="C25" s="0" t="s">
        <v>156</v>
      </c>
      <c r="D25" s="0" t="s">
        <v>157</v>
      </c>
      <c r="E25" s="0" t="n">
        <v>8.74</v>
      </c>
      <c r="F25" s="0" t="n">
        <v>8.27</v>
      </c>
      <c r="G25" s="0" t="n">
        <v>8.74</v>
      </c>
      <c r="H25" s="0" t="n">
        <v>9.1</v>
      </c>
      <c r="I25" s="0" t="s">
        <v>158</v>
      </c>
      <c r="J25" s="0" t="s">
        <v>159</v>
      </c>
      <c r="K25" s="0" t="n">
        <v>7.2</v>
      </c>
      <c r="L25" s="3" t="n">
        <f aca="false">IF(AND(ISNUMBER(K25),ISNUMBER(G25)),K25/G25-1,"")</f>
        <v>-0.176201372997712</v>
      </c>
      <c r="M25" s="0" t="str">
        <f aca="false">IF(OR(NOT(ISNUMBER(K25)),NOT(ISNUMBER(F25))),"no zone",IF(K25&lt;F25,"BELOW zone",IF(K25&lt;=G25,"IN ZONE","ABOVE zone")))</f>
        <v>BELOW zone</v>
      </c>
      <c r="N25" s="0" t="str">
        <f aca="false">IF(O25="","","Yes")</f>
        <v>Yes</v>
      </c>
      <c r="O25" s="4" t="s">
        <v>160</v>
      </c>
    </row>
    <row r="26" customFormat="false" ht="15" hidden="false" customHeight="false" outlineLevel="0" collapsed="false">
      <c r="A26" s="0" t="s">
        <v>110</v>
      </c>
      <c r="B26" s="0" t="s">
        <v>149</v>
      </c>
      <c r="C26" s="0" t="s">
        <v>161</v>
      </c>
      <c r="D26" s="0" t="s">
        <v>162</v>
      </c>
      <c r="E26" s="0" t="n">
        <v>117.6</v>
      </c>
      <c r="F26" s="0" t="n">
        <v>115</v>
      </c>
      <c r="G26" s="0" t="n">
        <v>117.6</v>
      </c>
      <c r="K26" s="0" t="n">
        <v>112.88</v>
      </c>
      <c r="L26" s="3" t="n">
        <f aca="false">IF(AND(ISNUMBER(K26),ISNUMBER(G26)),K26/G26-1,"")</f>
        <v>-0.0401360544217687</v>
      </c>
      <c r="M26" s="0" t="str">
        <f aca="false">IF(OR(NOT(ISNUMBER(K26)),NOT(ISNUMBER(F26))),"no zone",IF(K26&lt;F26,"BELOW zone",IF(K26&lt;=G26,"IN ZONE","ABOVE zone")))</f>
        <v>BELOW zone</v>
      </c>
      <c r="N26" s="0" t="str">
        <f aca="false">IF(O26="","","Yes")</f>
        <v>Yes</v>
      </c>
      <c r="O26" s="4" t="s">
        <v>163</v>
      </c>
    </row>
    <row r="27" customFormat="false" ht="15" hidden="false" customHeight="false" outlineLevel="0" collapsed="false">
      <c r="A27" s="0" t="s">
        <v>110</v>
      </c>
      <c r="B27" s="0" t="s">
        <v>164</v>
      </c>
      <c r="C27" s="0" t="s">
        <v>165</v>
      </c>
      <c r="D27" s="0" t="s">
        <v>166</v>
      </c>
      <c r="E27" s="0" t="n">
        <v>240</v>
      </c>
      <c r="F27" s="0" t="n">
        <v>226.2</v>
      </c>
      <c r="G27" s="0" t="n">
        <v>240</v>
      </c>
      <c r="K27" s="0" t="n">
        <v>234.01</v>
      </c>
      <c r="L27" s="3" t="n">
        <f aca="false">IF(AND(ISNUMBER(K27),ISNUMBER(G27)),K27/G27-1,"")</f>
        <v>-0.0249583333333334</v>
      </c>
      <c r="M27" s="0" t="str">
        <f aca="false">IF(OR(NOT(ISNUMBER(K27)),NOT(ISNUMBER(F27))),"no zone",IF(K27&lt;F27,"BELOW zone",IF(K27&lt;=G27,"IN ZONE","ABOVE zone")))</f>
        <v>IN ZONE</v>
      </c>
      <c r="N27" s="0" t="str">
        <f aca="false">IF(O27="","","Yes")</f>
        <v>Yes</v>
      </c>
      <c r="O27" s="4" t="s">
        <v>167</v>
      </c>
    </row>
    <row r="28" customFormat="false" ht="15" hidden="false" customHeight="false" outlineLevel="0" collapsed="false">
      <c r="A28" s="0" t="s">
        <v>110</v>
      </c>
      <c r="B28" s="0" t="s">
        <v>168</v>
      </c>
      <c r="C28" s="0" t="s">
        <v>169</v>
      </c>
      <c r="D28" s="0" t="s">
        <v>170</v>
      </c>
      <c r="E28" s="0" t="n">
        <v>17695</v>
      </c>
      <c r="F28" s="0" t="n">
        <v>16858</v>
      </c>
      <c r="G28" s="0" t="n">
        <v>17695</v>
      </c>
      <c r="K28" s="0" t="n">
        <v>17997</v>
      </c>
      <c r="L28" s="3" t="n">
        <f aca="false">IF(AND(ISNUMBER(K28),ISNUMBER(G28)),K28/G28-1,"")</f>
        <v>0.0170669680700764</v>
      </c>
      <c r="M28" s="0" t="str">
        <f aca="false">IF(OR(NOT(ISNUMBER(K28)),NOT(ISNUMBER(F28))),"no zone",IF(K28&lt;F28,"BELOW zone",IF(K28&lt;=G28,"IN ZONE","ABOVE zone")))</f>
        <v>ABOVE zone</v>
      </c>
      <c r="N28" s="0" t="str">
        <f aca="false">IF(O28="","","Yes")</f>
        <v>Yes</v>
      </c>
      <c r="O28" s="4" t="s">
        <v>171</v>
      </c>
    </row>
    <row r="29" customFormat="false" ht="15" hidden="false" customHeight="false" outlineLevel="0" collapsed="false">
      <c r="A29" s="0" t="s">
        <v>110</v>
      </c>
      <c r="B29" s="0" t="s">
        <v>168</v>
      </c>
      <c r="C29" s="0" t="s">
        <v>172</v>
      </c>
      <c r="D29" s="0" t="s">
        <v>173</v>
      </c>
      <c r="E29" s="0" t="n">
        <v>18970</v>
      </c>
      <c r="F29" s="0" t="n">
        <v>18480</v>
      </c>
      <c r="G29" s="0" t="n">
        <v>18970</v>
      </c>
      <c r="K29" s="0" t="n">
        <v>20000</v>
      </c>
      <c r="L29" s="3" t="n">
        <f aca="false">IF(AND(ISNUMBER(K29),ISNUMBER(G29)),K29/G29-1,"")</f>
        <v>0.0542962572482868</v>
      </c>
      <c r="M29" s="0" t="str">
        <f aca="false">IF(OR(NOT(ISNUMBER(K29)),NOT(ISNUMBER(F29))),"no zone",IF(K29&lt;F29,"BELOW zone",IF(K29&lt;=G29,"IN ZONE","ABOVE zone")))</f>
        <v>ABOVE zone</v>
      </c>
      <c r="N29" s="0" t="str">
        <f aca="false">IF(O29="","","Yes")</f>
        <v/>
      </c>
    </row>
    <row r="30" customFormat="false" ht="15" hidden="false" customHeight="false" outlineLevel="0" collapsed="false">
      <c r="A30" s="0" t="s">
        <v>110</v>
      </c>
      <c r="B30" s="0" t="s">
        <v>174</v>
      </c>
      <c r="C30" s="0" t="s">
        <v>175</v>
      </c>
      <c r="D30" s="0" t="s">
        <v>50</v>
      </c>
      <c r="E30" s="0" t="n">
        <v>279.6</v>
      </c>
      <c r="F30" s="0" t="n">
        <v>272.3</v>
      </c>
      <c r="G30" s="0" t="n">
        <v>279.6</v>
      </c>
      <c r="H30" s="0" t="n">
        <v>350</v>
      </c>
      <c r="I30" s="0" t="s">
        <v>176</v>
      </c>
      <c r="K30" s="0" t="n">
        <v>367.4</v>
      </c>
      <c r="L30" s="3" t="n">
        <f aca="false">IF(AND(ISNUMBER(K30),ISNUMBER(G30)),K30/G30-1,"")</f>
        <v>0.314020028612303</v>
      </c>
      <c r="M30" s="0" t="str">
        <f aca="false">IF(OR(NOT(ISNUMBER(K30)),NOT(ISNUMBER(F30))),"no zone",IF(K30&lt;F30,"BELOW zone",IF(K30&lt;=G30,"IN ZONE","ABOVE zone")))</f>
        <v>ABOVE zone</v>
      </c>
      <c r="N30" s="0" t="str">
        <f aca="false">IF(O30="","","Yes")</f>
        <v>Yes</v>
      </c>
      <c r="O30" s="4" t="s">
        <v>177</v>
      </c>
    </row>
    <row r="31" customFormat="false" ht="15" hidden="false" customHeight="false" outlineLevel="0" collapsed="false">
      <c r="A31" s="0" t="s">
        <v>110</v>
      </c>
      <c r="B31" s="0" t="s">
        <v>178</v>
      </c>
      <c r="C31" s="0" t="s">
        <v>179</v>
      </c>
      <c r="D31" s="0" t="s">
        <v>180</v>
      </c>
      <c r="E31" s="0" t="n">
        <v>37.61</v>
      </c>
      <c r="F31" s="0" t="n">
        <v>30.13</v>
      </c>
      <c r="G31" s="0" t="n">
        <v>37.61</v>
      </c>
      <c r="K31" s="0" t="n">
        <v>37.55</v>
      </c>
      <c r="L31" s="3" t="n">
        <f aca="false">IF(AND(ISNUMBER(K31),ISNUMBER(G31)),K31/G31-1,"")</f>
        <v>-0.0015953203935124</v>
      </c>
      <c r="M31" s="0" t="str">
        <f aca="false">IF(OR(NOT(ISNUMBER(K31)),NOT(ISNUMBER(F31))),"no zone",IF(K31&lt;F31,"BELOW zone",IF(K31&lt;=G31,"IN ZONE","ABOVE zone")))</f>
        <v>IN ZONE</v>
      </c>
      <c r="N31" s="0" t="str">
        <f aca="false">IF(O31="","","Yes")</f>
        <v>Yes</v>
      </c>
      <c r="O31" s="4" t="s">
        <v>181</v>
      </c>
    </row>
    <row r="32" customFormat="false" ht="15" hidden="false" customHeight="false" outlineLevel="0" collapsed="false">
      <c r="A32" s="0" t="s">
        <v>110</v>
      </c>
      <c r="B32" s="0" t="s">
        <v>182</v>
      </c>
      <c r="C32" s="0" t="s">
        <v>183</v>
      </c>
      <c r="D32" s="0" t="s">
        <v>184</v>
      </c>
      <c r="E32" s="0" t="n">
        <v>82</v>
      </c>
      <c r="F32" s="0" t="n">
        <v>79</v>
      </c>
      <c r="G32" s="0" t="n">
        <v>82</v>
      </c>
      <c r="H32" s="0" t="n">
        <v>114</v>
      </c>
      <c r="I32" s="0" t="s">
        <v>185</v>
      </c>
      <c r="J32" s="0" t="s">
        <v>186</v>
      </c>
      <c r="K32" s="0" t="n">
        <v>81.79</v>
      </c>
      <c r="L32" s="3" t="n">
        <f aca="false">IF(AND(ISNUMBER(K32),ISNUMBER(G32)),K32/G32-1,"")</f>
        <v>-0.00256097560975599</v>
      </c>
      <c r="M32" s="0" t="str">
        <f aca="false">IF(OR(NOT(ISNUMBER(K32)),NOT(ISNUMBER(F32))),"no zone",IF(K32&lt;F32,"BELOW zone",IF(K32&lt;=G32,"IN ZONE","ABOVE zone")))</f>
        <v>IN ZONE</v>
      </c>
      <c r="N32" s="0" t="str">
        <f aca="false">IF(O32="","","Yes")</f>
        <v/>
      </c>
    </row>
    <row r="33" customFormat="false" ht="15" hidden="false" customHeight="false" outlineLevel="0" collapsed="false">
      <c r="A33" s="0" t="s">
        <v>110</v>
      </c>
      <c r="B33" s="0" t="s">
        <v>187</v>
      </c>
      <c r="C33" s="0" t="s">
        <v>188</v>
      </c>
      <c r="D33" s="0" t="s">
        <v>189</v>
      </c>
      <c r="E33" s="0" t="n">
        <v>13760</v>
      </c>
      <c r="F33" s="0" t="n">
        <v>13600</v>
      </c>
      <c r="G33" s="0" t="n">
        <v>13760</v>
      </c>
      <c r="H33" s="0" t="n">
        <v>21000</v>
      </c>
      <c r="I33" s="0" t="s">
        <v>190</v>
      </c>
      <c r="J33" s="0" t="s">
        <v>191</v>
      </c>
      <c r="K33" s="0" t="n">
        <v>13495</v>
      </c>
      <c r="L33" s="3" t="n">
        <f aca="false">IF(AND(ISNUMBER(K33),ISNUMBER(G33)),K33/G33-1,"")</f>
        <v>-0.0192587209302325</v>
      </c>
      <c r="M33" s="0" t="str">
        <f aca="false">IF(OR(NOT(ISNUMBER(K33)),NOT(ISNUMBER(F33))),"no zone",IF(K33&lt;F33,"BELOW zone",IF(K33&lt;=G33,"IN ZONE","ABOVE zone")))</f>
        <v>BELOW zone</v>
      </c>
      <c r="N33" s="0" t="str">
        <f aca="false">IF(O33="","","Yes")</f>
        <v>Yes</v>
      </c>
      <c r="O33" s="4" t="s">
        <v>192</v>
      </c>
    </row>
    <row r="34" customFormat="false" ht="15" hidden="false" customHeight="false" outlineLevel="0" collapsed="false">
      <c r="A34" s="0" t="s">
        <v>110</v>
      </c>
      <c r="B34" s="0" t="s">
        <v>78</v>
      </c>
      <c r="C34" s="0" t="s">
        <v>193</v>
      </c>
      <c r="D34" s="0" t="s">
        <v>194</v>
      </c>
      <c r="E34" s="0" t="n">
        <v>56.8</v>
      </c>
      <c r="F34" s="0" t="n">
        <v>45.8</v>
      </c>
      <c r="G34" s="0" t="n">
        <v>56.8</v>
      </c>
      <c r="K34" s="0" t="n">
        <v>51.45</v>
      </c>
      <c r="L34" s="3" t="n">
        <f aca="false">IF(AND(ISNUMBER(K34),ISNUMBER(G34)),K34/G34-1,"")</f>
        <v>-0.0941901408450704</v>
      </c>
      <c r="M34" s="0" t="str">
        <f aca="false">IF(OR(NOT(ISNUMBER(K34)),NOT(ISNUMBER(F34))),"no zone",IF(K34&lt;F34,"BELOW zone",IF(K34&lt;=G34,"IN ZONE","ABOVE zone")))</f>
        <v>IN ZONE</v>
      </c>
      <c r="N34" s="0" t="str">
        <f aca="false">IF(O34="","","Yes")</f>
        <v/>
      </c>
    </row>
    <row r="35" customFormat="false" ht="15" hidden="false" customHeight="false" outlineLevel="0" collapsed="false">
      <c r="A35" s="0" t="s">
        <v>195</v>
      </c>
      <c r="B35" s="0" t="s">
        <v>196</v>
      </c>
      <c r="C35" s="0" t="s">
        <v>197</v>
      </c>
      <c r="D35" s="0" t="s">
        <v>198</v>
      </c>
      <c r="E35" s="0" t="n">
        <v>31.5</v>
      </c>
      <c r="F35" s="0" t="n">
        <v>30.44</v>
      </c>
      <c r="G35" s="0" t="n">
        <v>31.5</v>
      </c>
      <c r="K35" s="0" t="n">
        <v>31.59</v>
      </c>
      <c r="L35" s="3" t="n">
        <f aca="false">IF(AND(ISNUMBER(K35),ISNUMBER(G35)),K35/G35-1,"")</f>
        <v>0.00285714285714289</v>
      </c>
      <c r="M35" s="0" t="str">
        <f aca="false">IF(OR(NOT(ISNUMBER(K35)),NOT(ISNUMBER(F35))),"no zone",IF(K35&lt;F35,"BELOW zone",IF(K35&lt;=G35,"IN ZONE","ABOVE zone")))</f>
        <v>ABOVE zone</v>
      </c>
      <c r="N35" s="0" t="str">
        <f aca="false">IF(O35="","","Yes")</f>
        <v>Yes</v>
      </c>
      <c r="O35" s="4" t="s">
        <v>199</v>
      </c>
    </row>
    <row r="36" customFormat="false" ht="15" hidden="false" customHeight="false" outlineLevel="0" collapsed="false">
      <c r="A36" s="0" t="s">
        <v>195</v>
      </c>
      <c r="B36" s="0" t="s">
        <v>200</v>
      </c>
      <c r="C36" s="0" t="s">
        <v>201</v>
      </c>
      <c r="D36" s="0" t="s">
        <v>202</v>
      </c>
      <c r="E36" s="0" t="n">
        <v>829</v>
      </c>
      <c r="F36" s="0" t="n">
        <v>676.3</v>
      </c>
      <c r="G36" s="0" t="n">
        <v>829</v>
      </c>
      <c r="H36" s="0" t="n">
        <v>1200</v>
      </c>
      <c r="I36" s="0" t="s">
        <v>203</v>
      </c>
      <c r="K36" s="0" t="n">
        <v>556.2</v>
      </c>
      <c r="L36" s="3" t="n">
        <f aca="false">IF(AND(ISNUMBER(K36),ISNUMBER(G36)),K36/G36-1,"")</f>
        <v>-0.329071170084439</v>
      </c>
      <c r="M36" s="0" t="str">
        <f aca="false">IF(OR(NOT(ISNUMBER(K36)),NOT(ISNUMBER(F36))),"no zone",IF(K36&lt;F36,"BELOW zone",IF(K36&lt;=G36,"IN ZONE","ABOVE zone")))</f>
        <v>BELOW zone</v>
      </c>
      <c r="N36" s="0" t="str">
        <f aca="false">IF(O36="","","Yes")</f>
        <v/>
      </c>
    </row>
    <row r="37" customFormat="false" ht="15" hidden="false" customHeight="false" outlineLevel="0" collapsed="false">
      <c r="A37" s="0" t="s">
        <v>195</v>
      </c>
      <c r="B37" s="0" t="s">
        <v>204</v>
      </c>
      <c r="C37" s="0" t="s">
        <v>205</v>
      </c>
      <c r="D37" s="0" t="s">
        <v>206</v>
      </c>
      <c r="E37" s="0" t="n">
        <v>31.5</v>
      </c>
      <c r="F37" s="0" t="n">
        <v>30</v>
      </c>
      <c r="G37" s="0" t="n">
        <v>31.5</v>
      </c>
      <c r="K37" s="0" t="n">
        <v>29.12</v>
      </c>
      <c r="L37" s="3" t="n">
        <f aca="false">IF(AND(ISNUMBER(K37),ISNUMBER(G37)),K37/G37-1,"")</f>
        <v>-0.0755555555555555</v>
      </c>
      <c r="M37" s="0" t="str">
        <f aca="false">IF(OR(NOT(ISNUMBER(K37)),NOT(ISNUMBER(F37))),"no zone",IF(K37&lt;F37,"BELOW zone",IF(K37&lt;=G37,"IN ZONE","ABOVE zone")))</f>
        <v>BELOW zone</v>
      </c>
      <c r="N37" s="0" t="str">
        <f aca="false">IF(O37="","","Yes")</f>
        <v>Yes</v>
      </c>
      <c r="O37" s="4" t="s">
        <v>207</v>
      </c>
    </row>
    <row r="38" customFormat="false" ht="15" hidden="false" customHeight="false" outlineLevel="0" collapsed="false">
      <c r="A38" s="0" t="s">
        <v>195</v>
      </c>
      <c r="B38" s="0" t="s">
        <v>208</v>
      </c>
      <c r="C38" s="0" t="s">
        <v>209</v>
      </c>
      <c r="D38" s="0" t="s">
        <v>210</v>
      </c>
      <c r="E38" s="0" t="n">
        <v>3100</v>
      </c>
      <c r="F38" s="0" t="n">
        <v>2800</v>
      </c>
      <c r="G38" s="0" t="n">
        <v>3100</v>
      </c>
      <c r="K38" s="0" t="n">
        <v>3160</v>
      </c>
      <c r="L38" s="3" t="n">
        <f aca="false">IF(AND(ISNUMBER(K38),ISNUMBER(G38)),K38/G38-1,"")</f>
        <v>0.0193548387096774</v>
      </c>
      <c r="M38" s="0" t="str">
        <f aca="false">IF(OR(NOT(ISNUMBER(K38)),NOT(ISNUMBER(F38))),"no zone",IF(K38&lt;F38,"BELOW zone",IF(K38&lt;=G38,"IN ZONE","ABOVE zone")))</f>
        <v>ABOVE zone</v>
      </c>
      <c r="N38" s="0" t="str">
        <f aca="false">IF(O38="","","Yes")</f>
        <v/>
      </c>
    </row>
    <row r="39" customFormat="false" ht="15" hidden="false" customHeight="false" outlineLevel="0" collapsed="false">
      <c r="A39" s="0" t="s">
        <v>195</v>
      </c>
      <c r="B39" s="0" t="s">
        <v>208</v>
      </c>
      <c r="C39" s="0" t="s">
        <v>211</v>
      </c>
      <c r="D39" s="0" t="s">
        <v>212</v>
      </c>
      <c r="E39" s="0" t="n">
        <v>400</v>
      </c>
      <c r="F39" s="0" t="n">
        <v>350</v>
      </c>
      <c r="G39" s="0" t="n">
        <v>400</v>
      </c>
      <c r="K39" s="0" t="n">
        <v>368.15</v>
      </c>
      <c r="L39" s="3" t="n">
        <f aca="false">IF(AND(ISNUMBER(K39),ISNUMBER(G39)),K39/G39-1,"")</f>
        <v>-0.0796250000000001</v>
      </c>
      <c r="M39" s="0" t="str">
        <f aca="false">IF(OR(NOT(ISNUMBER(K39)),NOT(ISNUMBER(F39))),"no zone",IF(K39&lt;F39,"BELOW zone",IF(K39&lt;=G39,"IN ZONE","ABOVE zone")))</f>
        <v>IN ZONE</v>
      </c>
      <c r="N39" s="0" t="str">
        <f aca="false">IF(O39="","","Yes")</f>
        <v>Yes</v>
      </c>
      <c r="O39" s="4" t="s">
        <v>123</v>
      </c>
    </row>
    <row r="40" customFormat="false" ht="15" hidden="false" customHeight="false" outlineLevel="0" collapsed="false">
      <c r="A40" s="0" t="s">
        <v>195</v>
      </c>
      <c r="B40" s="0" t="s">
        <v>208</v>
      </c>
      <c r="C40" s="0" t="s">
        <v>213</v>
      </c>
      <c r="D40" s="0" t="s">
        <v>214</v>
      </c>
      <c r="E40" s="0" t="n">
        <v>1400</v>
      </c>
      <c r="F40" s="0" t="n">
        <v>1300</v>
      </c>
      <c r="G40" s="0" t="n">
        <v>1400</v>
      </c>
      <c r="K40" s="0" t="n">
        <v>1260</v>
      </c>
      <c r="L40" s="3" t="n">
        <f aca="false">IF(AND(ISNUMBER(K40),ISNUMBER(G40)),K40/G40-1,"")</f>
        <v>-0.1</v>
      </c>
      <c r="M40" s="0" t="str">
        <f aca="false">IF(OR(NOT(ISNUMBER(K40)),NOT(ISNUMBER(F40))),"no zone",IF(K40&lt;F40,"BELOW zone",IF(K40&lt;=G40,"IN ZONE","ABOVE zone")))</f>
        <v>BELOW zone</v>
      </c>
      <c r="N40" s="0" t="str">
        <f aca="false">IF(O40="","","Yes")</f>
        <v>Yes</v>
      </c>
      <c r="O40" s="4" t="s">
        <v>215</v>
      </c>
    </row>
    <row r="41" customFormat="false" ht="15" hidden="false" customHeight="false" outlineLevel="0" collapsed="false">
      <c r="A41" s="0" t="s">
        <v>195</v>
      </c>
      <c r="B41" s="0" t="s">
        <v>208</v>
      </c>
      <c r="C41" s="0" t="s">
        <v>216</v>
      </c>
      <c r="D41" s="0" t="s">
        <v>217</v>
      </c>
      <c r="E41" s="0" t="n">
        <v>620</v>
      </c>
      <c r="F41" s="0" t="n">
        <v>600</v>
      </c>
      <c r="G41" s="0" t="n">
        <v>620</v>
      </c>
      <c r="K41" s="0" t="n">
        <v>660.3</v>
      </c>
      <c r="L41" s="3" t="n">
        <f aca="false">IF(AND(ISNUMBER(K41),ISNUMBER(G41)),K41/G41-1,"")</f>
        <v>0.065</v>
      </c>
      <c r="M41" s="0" t="str">
        <f aca="false">IF(OR(NOT(ISNUMBER(K41)),NOT(ISNUMBER(F41))),"no zone",IF(K41&lt;F41,"BELOW zone",IF(K41&lt;=G41,"IN ZONE","ABOVE zone")))</f>
        <v>ABOVE zone</v>
      </c>
      <c r="N41" s="0" t="str">
        <f aca="false">IF(O41="","","Yes")</f>
        <v/>
      </c>
    </row>
    <row r="42" customFormat="false" ht="15" hidden="false" customHeight="false" outlineLevel="0" collapsed="false">
      <c r="A42" s="0" t="s">
        <v>195</v>
      </c>
      <c r="B42" s="0" t="s">
        <v>208</v>
      </c>
      <c r="C42" s="0" t="s">
        <v>218</v>
      </c>
      <c r="D42" s="0" t="s">
        <v>219</v>
      </c>
      <c r="E42" s="0" t="n">
        <v>3100</v>
      </c>
      <c r="F42" s="0" t="n">
        <v>3000</v>
      </c>
      <c r="G42" s="0" t="n">
        <v>3100</v>
      </c>
      <c r="K42" s="0" t="n">
        <v>3264</v>
      </c>
      <c r="L42" s="3" t="n">
        <f aca="false">IF(AND(ISNUMBER(K42),ISNUMBER(G42)),K42/G42-1,"")</f>
        <v>0.0529032258064517</v>
      </c>
      <c r="M42" s="0" t="str">
        <f aca="false">IF(OR(NOT(ISNUMBER(K42)),NOT(ISNUMBER(F42))),"no zone",IF(K42&lt;F42,"BELOW zone",IF(K42&lt;=G42,"IN ZONE","ABOVE zone")))</f>
        <v>ABOVE zone</v>
      </c>
      <c r="N42" s="0" t="str">
        <f aca="false">IF(O42="","","Yes")</f>
        <v/>
      </c>
    </row>
    <row r="43" customFormat="false" ht="15" hidden="false" customHeight="false" outlineLevel="0" collapsed="false">
      <c r="A43" s="0" t="s">
        <v>195</v>
      </c>
      <c r="B43" s="0" t="s">
        <v>208</v>
      </c>
      <c r="C43" s="0" t="s">
        <v>220</v>
      </c>
      <c r="D43" s="0" t="s">
        <v>221</v>
      </c>
      <c r="E43" s="0" t="n">
        <v>4200</v>
      </c>
      <c r="F43" s="0" t="n">
        <v>4000</v>
      </c>
      <c r="G43" s="0" t="n">
        <v>4200</v>
      </c>
      <c r="K43" s="0" t="n">
        <v>4723.1</v>
      </c>
      <c r="L43" s="3" t="n">
        <f aca="false">IF(AND(ISNUMBER(K43),ISNUMBER(G43)),K43/G43-1,"")</f>
        <v>0.124547619047619</v>
      </c>
      <c r="M43" s="0" t="str">
        <f aca="false">IF(OR(NOT(ISNUMBER(K43)),NOT(ISNUMBER(F43))),"no zone",IF(K43&lt;F43,"BELOW zone",IF(K43&lt;=G43,"IN ZONE","ABOVE zone")))</f>
        <v>ABOVE zone</v>
      </c>
      <c r="N43" s="0" t="str">
        <f aca="false">IF(O43="","","Yes")</f>
        <v/>
      </c>
    </row>
    <row r="44" customFormat="false" ht="15" hidden="false" customHeight="false" outlineLevel="0" collapsed="false">
      <c r="A44" s="0" t="s">
        <v>195</v>
      </c>
      <c r="B44" s="0" t="s">
        <v>222</v>
      </c>
      <c r="C44" s="0" t="s">
        <v>223</v>
      </c>
      <c r="D44" s="0" t="s">
        <v>224</v>
      </c>
      <c r="E44" s="0" t="n">
        <v>32.5</v>
      </c>
      <c r="F44" s="0" t="n">
        <v>30.42</v>
      </c>
      <c r="G44" s="0" t="n">
        <v>32.5</v>
      </c>
      <c r="K44" s="0" t="n">
        <v>30.18</v>
      </c>
      <c r="L44" s="3" t="n">
        <f aca="false">IF(AND(ISNUMBER(K44),ISNUMBER(G44)),K44/G44-1,"")</f>
        <v>-0.0713846153846154</v>
      </c>
      <c r="M44" s="0" t="str">
        <f aca="false">IF(OR(NOT(ISNUMBER(K44)),NOT(ISNUMBER(F44))),"no zone",IF(K44&lt;F44,"BELOW zone",IF(K44&lt;=G44,"IN ZONE","ABOVE zone")))</f>
        <v>BELOW zone</v>
      </c>
      <c r="N44" s="0" t="str">
        <f aca="false">IF(O44="","","Yes")</f>
        <v>Yes</v>
      </c>
      <c r="O44" s="4" t="s">
        <v>225</v>
      </c>
    </row>
    <row r="45" customFormat="false" ht="15" hidden="false" customHeight="false" outlineLevel="0" collapsed="false">
      <c r="A45" s="0" t="s">
        <v>195</v>
      </c>
      <c r="B45" s="0" t="s">
        <v>226</v>
      </c>
      <c r="C45" s="0" t="s">
        <v>227</v>
      </c>
      <c r="D45" s="0" t="s">
        <v>228</v>
      </c>
      <c r="E45" s="0" t="n">
        <v>85</v>
      </c>
      <c r="F45" s="0" t="n">
        <v>74.22</v>
      </c>
      <c r="G45" s="0" t="n">
        <v>85</v>
      </c>
      <c r="H45" s="0" t="n">
        <v>150</v>
      </c>
      <c r="I45" s="0" t="s">
        <v>229</v>
      </c>
      <c r="K45" s="0" t="n">
        <v>148</v>
      </c>
      <c r="L45" s="3" t="n">
        <f aca="false">IF(AND(ISNUMBER(K45),ISNUMBER(G45)),K45/G45-1,"")</f>
        <v>0.741176470588235</v>
      </c>
      <c r="M45" s="0" t="str">
        <f aca="false">IF(OR(NOT(ISNUMBER(K45)),NOT(ISNUMBER(F45))),"no zone",IF(K45&lt;F45,"BELOW zone",IF(K45&lt;=G45,"IN ZONE","ABOVE zone")))</f>
        <v>ABOVE zone</v>
      </c>
      <c r="N45" s="0" t="str">
        <f aca="false">IF(O45="","","Yes")</f>
        <v/>
      </c>
    </row>
    <row r="46" customFormat="false" ht="15" hidden="false" customHeight="false" outlineLevel="0" collapsed="false">
      <c r="A46" s="0" t="s">
        <v>195</v>
      </c>
      <c r="B46" s="0" t="s">
        <v>230</v>
      </c>
      <c r="C46" s="0" t="s">
        <v>231</v>
      </c>
      <c r="D46" s="0" t="s">
        <v>232</v>
      </c>
      <c r="E46" s="0" t="n">
        <v>597</v>
      </c>
      <c r="F46" s="0" t="n">
        <v>451.9</v>
      </c>
      <c r="G46" s="0" t="n">
        <v>597</v>
      </c>
      <c r="H46" s="0" t="n">
        <v>1100</v>
      </c>
      <c r="I46" s="0" t="s">
        <v>233</v>
      </c>
      <c r="K46" s="0" t="n">
        <v>747.05</v>
      </c>
      <c r="L46" s="3" t="n">
        <f aca="false">IF(AND(ISNUMBER(K46),ISNUMBER(G46)),K46/G46-1,"")</f>
        <v>0.251340033500837</v>
      </c>
      <c r="M46" s="0" t="str">
        <f aca="false">IF(OR(NOT(ISNUMBER(K46)),NOT(ISNUMBER(F46))),"no zone",IF(K46&lt;F46,"BELOW zone",IF(K46&lt;=G46,"IN ZONE","ABOVE zone")))</f>
        <v>ABOVE zone</v>
      </c>
      <c r="N46" s="0" t="str">
        <f aca="false">IF(O46="","","Yes")</f>
        <v/>
      </c>
    </row>
    <row r="47" customFormat="false" ht="15" hidden="false" customHeight="false" outlineLevel="0" collapsed="false">
      <c r="A47" s="0" t="s">
        <v>195</v>
      </c>
      <c r="B47" s="0" t="s">
        <v>234</v>
      </c>
      <c r="C47" s="0" t="s">
        <v>235</v>
      </c>
      <c r="D47" s="0" t="s">
        <v>12</v>
      </c>
      <c r="E47" s="0" t="n">
        <v>560.9</v>
      </c>
      <c r="F47" s="0" t="n">
        <v>548.8</v>
      </c>
      <c r="G47" s="0" t="n">
        <v>560.9</v>
      </c>
      <c r="K47" s="0" t="n">
        <v>543.5</v>
      </c>
      <c r="L47" s="3" t="n">
        <f aca="false">IF(AND(ISNUMBER(K47),ISNUMBER(G47)),K47/G47-1,"")</f>
        <v>-0.0310215724728116</v>
      </c>
      <c r="M47" s="0" t="str">
        <f aca="false">IF(OR(NOT(ISNUMBER(K47)),NOT(ISNUMBER(F47))),"no zone",IF(K47&lt;F47,"BELOW zone",IF(K47&lt;=G47,"IN ZONE","ABOVE zone")))</f>
        <v>BELOW zone</v>
      </c>
      <c r="N47" s="0" t="str">
        <f aca="false">IF(O47="","","Yes")</f>
        <v>Yes</v>
      </c>
      <c r="O47" s="4" t="s">
        <v>236</v>
      </c>
    </row>
    <row r="48" customFormat="false" ht="15" hidden="false" customHeight="false" outlineLevel="0" collapsed="false">
      <c r="A48" s="0" t="s">
        <v>195</v>
      </c>
      <c r="B48" s="0" t="s">
        <v>237</v>
      </c>
      <c r="C48" s="0" t="s">
        <v>238</v>
      </c>
      <c r="D48" s="0" t="s">
        <v>239</v>
      </c>
      <c r="E48" s="0" t="n">
        <v>83</v>
      </c>
      <c r="F48" s="0" t="n">
        <v>74.02</v>
      </c>
      <c r="G48" s="0" t="n">
        <v>83</v>
      </c>
      <c r="H48" s="0" t="n">
        <v>120</v>
      </c>
      <c r="I48" s="0" t="s">
        <v>240</v>
      </c>
      <c r="K48" s="0" t="n">
        <v>108.25</v>
      </c>
      <c r="L48" s="3" t="n">
        <f aca="false">IF(AND(ISNUMBER(K48),ISNUMBER(G48)),K48/G48-1,"")</f>
        <v>0.30421686746988</v>
      </c>
      <c r="M48" s="0" t="str">
        <f aca="false">IF(OR(NOT(ISNUMBER(K48)),NOT(ISNUMBER(F48))),"no zone",IF(K48&lt;F48,"BELOW zone",IF(K48&lt;=G48,"IN ZONE","ABOVE zone")))</f>
        <v>ABOVE zone</v>
      </c>
      <c r="N48" s="0" t="str">
        <f aca="false">IF(O48="","","Yes")</f>
        <v>Yes</v>
      </c>
      <c r="O48" s="4" t="s">
        <v>241</v>
      </c>
    </row>
    <row r="49" customFormat="false" ht="15" hidden="false" customHeight="false" outlineLevel="0" collapsed="false">
      <c r="A49" s="0" t="s">
        <v>195</v>
      </c>
      <c r="B49" s="0" t="s">
        <v>242</v>
      </c>
      <c r="C49" s="0" t="s">
        <v>243</v>
      </c>
      <c r="D49" s="0" t="s">
        <v>244</v>
      </c>
      <c r="E49" s="0" t="n">
        <v>488.5</v>
      </c>
      <c r="F49" s="0" t="n">
        <v>454.1</v>
      </c>
      <c r="G49" s="0" t="n">
        <v>488.5</v>
      </c>
      <c r="H49" s="0" t="n">
        <v>1000</v>
      </c>
      <c r="I49" s="0" t="s">
        <v>245</v>
      </c>
      <c r="K49" s="0" t="n">
        <v>393.95</v>
      </c>
      <c r="L49" s="3" t="n">
        <f aca="false">IF(AND(ISNUMBER(K49),ISNUMBER(G49)),K49/G49-1,"")</f>
        <v>-0.193551688843398</v>
      </c>
      <c r="M49" s="0" t="str">
        <f aca="false">IF(OR(NOT(ISNUMBER(K49)),NOT(ISNUMBER(F49))),"no zone",IF(K49&lt;F49,"BELOW zone",IF(K49&lt;=G49,"IN ZONE","ABOVE zone")))</f>
        <v>BELOW zone</v>
      </c>
      <c r="N49" s="0" t="str">
        <f aca="false">IF(O49="","","Yes")</f>
        <v/>
      </c>
    </row>
    <row r="50" customFormat="false" ht="15" hidden="false" customHeight="false" outlineLevel="0" collapsed="false">
      <c r="A50" s="0" t="s">
        <v>195</v>
      </c>
      <c r="B50" s="0" t="s">
        <v>119</v>
      </c>
      <c r="C50" s="0" t="s">
        <v>246</v>
      </c>
      <c r="D50" s="0" t="s">
        <v>246</v>
      </c>
      <c r="E50" s="0" t="n">
        <v>5295</v>
      </c>
      <c r="F50" s="0" t="n">
        <v>4812</v>
      </c>
      <c r="G50" s="0" t="n">
        <v>5295</v>
      </c>
      <c r="H50" s="0" t="n">
        <v>7500</v>
      </c>
      <c r="I50" s="0" t="s">
        <v>247</v>
      </c>
      <c r="K50" s="0" t="n">
        <v>4435</v>
      </c>
      <c r="L50" s="3" t="n">
        <f aca="false">IF(AND(ISNUMBER(K50),ISNUMBER(G50)),K50/G50-1,"")</f>
        <v>-0.162417374881964</v>
      </c>
      <c r="M50" s="0" t="str">
        <f aca="false">IF(OR(NOT(ISNUMBER(K50)),NOT(ISNUMBER(F50))),"no zone",IF(K50&lt;F50,"BELOW zone",IF(K50&lt;=G50,"IN ZONE","ABOVE zone")))</f>
        <v>BELOW zone</v>
      </c>
      <c r="N50" s="0" t="str">
        <f aca="false">IF(O50="","","Yes")</f>
        <v/>
      </c>
    </row>
    <row r="51" customFormat="false" ht="15" hidden="false" customHeight="false" outlineLevel="0" collapsed="false">
      <c r="A51" s="0" t="s">
        <v>195</v>
      </c>
      <c r="B51" s="0" t="s">
        <v>119</v>
      </c>
      <c r="C51" s="0" t="s">
        <v>248</v>
      </c>
      <c r="D51" s="0" t="s">
        <v>249</v>
      </c>
      <c r="E51" s="0" t="n">
        <v>320</v>
      </c>
      <c r="F51" s="0" t="n">
        <v>297.1</v>
      </c>
      <c r="G51" s="0" t="n">
        <v>320</v>
      </c>
      <c r="H51" s="0" t="n">
        <v>450</v>
      </c>
      <c r="I51" s="0" t="s">
        <v>250</v>
      </c>
      <c r="K51" s="0" t="n">
        <v>266.15</v>
      </c>
      <c r="L51" s="3" t="n">
        <f aca="false">IF(AND(ISNUMBER(K51),ISNUMBER(G51)),K51/G51-1,"")</f>
        <v>-0.16828125</v>
      </c>
      <c r="M51" s="0" t="str">
        <f aca="false">IF(OR(NOT(ISNUMBER(K51)),NOT(ISNUMBER(F51))),"no zone",IF(K51&lt;F51,"BELOW zone",IF(K51&lt;=G51,"IN ZONE","ABOVE zone")))</f>
        <v>BELOW zone</v>
      </c>
      <c r="N51" s="0" t="str">
        <f aca="false">IF(O51="","","Yes")</f>
        <v/>
      </c>
    </row>
    <row r="52" customFormat="false" ht="15" hidden="false" customHeight="false" outlineLevel="0" collapsed="false">
      <c r="A52" s="0" t="s">
        <v>195</v>
      </c>
      <c r="B52" s="0" t="s">
        <v>127</v>
      </c>
      <c r="C52" s="0" t="s">
        <v>251</v>
      </c>
      <c r="D52" s="0" t="s">
        <v>252</v>
      </c>
      <c r="E52" s="0" t="n">
        <v>512</v>
      </c>
      <c r="F52" s="0" t="n">
        <v>476.5</v>
      </c>
      <c r="G52" s="0" t="n">
        <v>512</v>
      </c>
      <c r="H52" s="0" t="n">
        <v>900</v>
      </c>
      <c r="I52" s="0" t="s">
        <v>253</v>
      </c>
      <c r="K52" s="0" t="n">
        <v>475.25</v>
      </c>
      <c r="L52" s="3" t="n">
        <f aca="false">IF(AND(ISNUMBER(K52),ISNUMBER(G52)),K52/G52-1,"")</f>
        <v>-0.07177734375</v>
      </c>
      <c r="M52" s="0" t="str">
        <f aca="false">IF(OR(NOT(ISNUMBER(K52)),NOT(ISNUMBER(F52))),"no zone",IF(K52&lt;F52,"BELOW zone",IF(K52&lt;=G52,"IN ZONE","ABOVE zone")))</f>
        <v>BELOW zone</v>
      </c>
      <c r="N52" s="0" t="str">
        <f aca="false">IF(O52="","","Yes")</f>
        <v>Yes</v>
      </c>
      <c r="O52" s="4" t="s">
        <v>254</v>
      </c>
    </row>
    <row r="53" customFormat="false" ht="15" hidden="false" customHeight="false" outlineLevel="0" collapsed="false">
      <c r="A53" s="0" t="s">
        <v>195</v>
      </c>
      <c r="B53" s="0" t="s">
        <v>127</v>
      </c>
      <c r="C53" s="0" t="s">
        <v>255</v>
      </c>
      <c r="D53" s="0" t="s">
        <v>256</v>
      </c>
      <c r="E53" s="0" t="n">
        <v>577</v>
      </c>
      <c r="F53" s="0" t="n">
        <v>530</v>
      </c>
      <c r="G53" s="0" t="n">
        <v>577</v>
      </c>
      <c r="H53" s="0" t="n">
        <v>840</v>
      </c>
      <c r="I53" s="0" t="s">
        <v>257</v>
      </c>
      <c r="K53" s="0" t="n">
        <v>698</v>
      </c>
      <c r="L53" s="3" t="n">
        <f aca="false">IF(AND(ISNUMBER(K53),ISNUMBER(G53)),K53/G53-1,"")</f>
        <v>0.209705372616984</v>
      </c>
      <c r="M53" s="0" t="str">
        <f aca="false">IF(OR(NOT(ISNUMBER(K53)),NOT(ISNUMBER(F53))),"no zone",IF(K53&lt;F53,"BELOW zone",IF(K53&lt;=G53,"IN ZONE","ABOVE zone")))</f>
        <v>ABOVE zone</v>
      </c>
      <c r="N53" s="0" t="str">
        <f aca="false">IF(O53="","","Yes")</f>
        <v>Yes</v>
      </c>
      <c r="O53" s="4" t="s">
        <v>258</v>
      </c>
    </row>
    <row r="54" customFormat="false" ht="15" hidden="false" customHeight="false" outlineLevel="0" collapsed="false">
      <c r="A54" s="0" t="s">
        <v>195</v>
      </c>
      <c r="B54" s="0" t="s">
        <v>259</v>
      </c>
      <c r="C54" s="0" t="s">
        <v>260</v>
      </c>
      <c r="D54" s="0" t="s">
        <v>261</v>
      </c>
      <c r="E54" s="0" t="n">
        <v>960</v>
      </c>
      <c r="F54" s="0" t="n">
        <v>912</v>
      </c>
      <c r="G54" s="0" t="n">
        <v>960</v>
      </c>
      <c r="H54" s="0" t="n">
        <v>1500</v>
      </c>
      <c r="I54" s="0" t="s">
        <v>262</v>
      </c>
      <c r="K54" s="0" t="n">
        <v>1268.1</v>
      </c>
      <c r="L54" s="3" t="n">
        <f aca="false">IF(AND(ISNUMBER(K54),ISNUMBER(G54)),K54/G54-1,"")</f>
        <v>0.3209375</v>
      </c>
      <c r="M54" s="0" t="str">
        <f aca="false">IF(OR(NOT(ISNUMBER(K54)),NOT(ISNUMBER(F54))),"no zone",IF(K54&lt;F54,"BELOW zone",IF(K54&lt;=G54,"IN ZONE","ABOVE zone")))</f>
        <v>ABOVE zone</v>
      </c>
      <c r="N54" s="0" t="str">
        <f aca="false">IF(O54="","","Yes")</f>
        <v/>
      </c>
    </row>
    <row r="55" customFormat="false" ht="15" hidden="false" customHeight="false" outlineLevel="0" collapsed="false">
      <c r="A55" s="0" t="s">
        <v>195</v>
      </c>
      <c r="B55" s="0" t="s">
        <v>263</v>
      </c>
      <c r="C55" s="0" t="s">
        <v>264</v>
      </c>
      <c r="D55" s="0" t="s">
        <v>265</v>
      </c>
      <c r="E55" s="0" t="n">
        <v>196</v>
      </c>
      <c r="F55" s="0" t="n">
        <v>188.8</v>
      </c>
      <c r="G55" s="0" t="n">
        <v>196</v>
      </c>
      <c r="H55" s="0" t="n">
        <v>285</v>
      </c>
      <c r="I55" s="0" t="s">
        <v>266</v>
      </c>
      <c r="K55" s="0" t="n">
        <v>182</v>
      </c>
      <c r="L55" s="3" t="n">
        <f aca="false">IF(AND(ISNUMBER(K55),ISNUMBER(G55)),K55/G55-1,"")</f>
        <v>-0.0714285714285714</v>
      </c>
      <c r="M55" s="0" t="str">
        <f aca="false">IF(OR(NOT(ISNUMBER(K55)),NOT(ISNUMBER(F55))),"no zone",IF(K55&lt;F55,"BELOW zone",IF(K55&lt;=G55,"IN ZONE","ABOVE zone")))</f>
        <v>BELOW zone</v>
      </c>
      <c r="N55" s="0" t="str">
        <f aca="false">IF(O55="","","Yes")</f>
        <v/>
      </c>
    </row>
    <row r="56" customFormat="false" ht="15" hidden="false" customHeight="false" outlineLevel="0" collapsed="false">
      <c r="A56" s="0" t="s">
        <v>195</v>
      </c>
      <c r="B56" s="0" t="s">
        <v>267</v>
      </c>
      <c r="C56" s="0" t="s">
        <v>268</v>
      </c>
      <c r="D56" s="0" t="s">
        <v>269</v>
      </c>
      <c r="E56" s="0" t="n">
        <v>508</v>
      </c>
      <c r="F56" s="0" t="n">
        <v>477.8</v>
      </c>
      <c r="G56" s="0" t="n">
        <v>508</v>
      </c>
      <c r="H56" s="0" t="n">
        <v>900</v>
      </c>
      <c r="I56" s="0" t="s">
        <v>270</v>
      </c>
      <c r="K56" s="0" t="n">
        <v>481.6</v>
      </c>
      <c r="L56" s="3" t="n">
        <f aca="false">IF(AND(ISNUMBER(K56),ISNUMBER(G56)),K56/G56-1,"")</f>
        <v>-0.0519685039370078</v>
      </c>
      <c r="M56" s="0" t="str">
        <f aca="false">IF(OR(NOT(ISNUMBER(K56)),NOT(ISNUMBER(F56))),"no zone",IF(K56&lt;F56,"BELOW zone",IF(K56&lt;=G56,"IN ZONE","ABOVE zone")))</f>
        <v>IN ZONE</v>
      </c>
      <c r="N56" s="0" t="str">
        <f aca="false">IF(O56="","","Yes")</f>
        <v>Yes</v>
      </c>
      <c r="O56" s="4" t="s">
        <v>271</v>
      </c>
    </row>
    <row r="57" customFormat="false" ht="15" hidden="false" customHeight="false" outlineLevel="0" collapsed="false">
      <c r="A57" s="0" t="s">
        <v>195</v>
      </c>
      <c r="B57" s="0" t="s">
        <v>272</v>
      </c>
      <c r="C57" s="0" t="s">
        <v>273</v>
      </c>
      <c r="D57" s="0" t="s">
        <v>274</v>
      </c>
      <c r="E57" s="0" t="n">
        <v>2170</v>
      </c>
      <c r="F57" s="0" t="n">
        <v>2100</v>
      </c>
      <c r="G57" s="0" t="n">
        <v>2170</v>
      </c>
      <c r="K57" s="0" t="n">
        <v>2114.1</v>
      </c>
      <c r="L57" s="3" t="n">
        <f aca="false">IF(AND(ISNUMBER(K57),ISNUMBER(G57)),K57/G57-1,"")</f>
        <v>-0.0257603686635945</v>
      </c>
      <c r="M57" s="0" t="str">
        <f aca="false">IF(OR(NOT(ISNUMBER(K57)),NOT(ISNUMBER(F57))),"no zone",IF(K57&lt;F57,"BELOW zone",IF(K57&lt;=G57,"IN ZONE","ABOVE zone")))</f>
        <v>IN ZONE</v>
      </c>
      <c r="N57" s="0" t="str">
        <f aca="false">IF(O57="","","Yes")</f>
        <v/>
      </c>
    </row>
    <row r="58" customFormat="false" ht="15" hidden="false" customHeight="false" outlineLevel="0" collapsed="false">
      <c r="A58" s="0" t="s">
        <v>195</v>
      </c>
      <c r="B58" s="0" t="s">
        <v>275</v>
      </c>
      <c r="C58" s="0" t="s">
        <v>276</v>
      </c>
      <c r="D58" s="0" t="s">
        <v>277</v>
      </c>
      <c r="E58" s="0" t="n">
        <v>567.4</v>
      </c>
      <c r="F58" s="0" t="n">
        <v>537.6</v>
      </c>
      <c r="G58" s="0" t="n">
        <v>567.4</v>
      </c>
      <c r="H58" s="0" t="n">
        <v>770</v>
      </c>
      <c r="I58" s="0" t="s">
        <v>278</v>
      </c>
      <c r="K58" s="0" t="n">
        <v>601</v>
      </c>
      <c r="L58" s="3" t="n">
        <f aca="false">IF(AND(ISNUMBER(K58),ISNUMBER(G58)),K58/G58-1,"")</f>
        <v>0.0592174832569616</v>
      </c>
      <c r="M58" s="0" t="str">
        <f aca="false">IF(OR(NOT(ISNUMBER(K58)),NOT(ISNUMBER(F58))),"no zone",IF(K58&lt;F58,"BELOW zone",IF(K58&lt;=G58,"IN ZONE","ABOVE zone")))</f>
        <v>ABOVE zone</v>
      </c>
      <c r="N58" s="0" t="str">
        <f aca="false">IF(O58="","","Yes")</f>
        <v>Yes</v>
      </c>
      <c r="O58" s="4" t="s">
        <v>279</v>
      </c>
    </row>
    <row r="59" customFormat="false" ht="15" hidden="false" customHeight="false" outlineLevel="0" collapsed="false">
      <c r="A59" s="0" t="s">
        <v>195</v>
      </c>
      <c r="B59" s="0" t="s">
        <v>280</v>
      </c>
      <c r="C59" s="0" t="s">
        <v>281</v>
      </c>
      <c r="D59" s="0" t="s">
        <v>282</v>
      </c>
      <c r="E59" s="0" t="n">
        <v>909</v>
      </c>
      <c r="F59" s="0" t="n">
        <v>866.9</v>
      </c>
      <c r="G59" s="0" t="n">
        <v>909</v>
      </c>
      <c r="H59" s="0" t="n">
        <v>1400</v>
      </c>
      <c r="I59" s="0" t="s">
        <v>283</v>
      </c>
      <c r="K59" s="0" t="n">
        <v>814</v>
      </c>
      <c r="L59" s="3" t="n">
        <f aca="false">IF(AND(ISNUMBER(K59),ISNUMBER(G59)),K59/G59-1,"")</f>
        <v>-0.104510451045104</v>
      </c>
      <c r="M59" s="0" t="str">
        <f aca="false">IF(OR(NOT(ISNUMBER(K59)),NOT(ISNUMBER(F59))),"no zone",IF(K59&lt;F59,"BELOW zone",IF(K59&lt;=G59,"IN ZONE","ABOVE zone")))</f>
        <v>BELOW zone</v>
      </c>
      <c r="N59" s="0" t="str">
        <f aca="false">IF(O59="","","Yes")</f>
        <v/>
      </c>
    </row>
    <row r="60" customFormat="false" ht="15" hidden="false" customHeight="false" outlineLevel="0" collapsed="false">
      <c r="A60" s="0" t="s">
        <v>195</v>
      </c>
      <c r="B60" s="0" t="s">
        <v>284</v>
      </c>
      <c r="C60" s="0" t="s">
        <v>285</v>
      </c>
      <c r="D60" s="0" t="s">
        <v>286</v>
      </c>
      <c r="E60" s="0" t="n">
        <v>1417</v>
      </c>
      <c r="F60" s="0" t="n">
        <v>1359</v>
      </c>
      <c r="G60" s="0" t="n">
        <v>1417</v>
      </c>
      <c r="H60" s="0" t="n">
        <v>2100</v>
      </c>
      <c r="I60" s="0" t="s">
        <v>287</v>
      </c>
      <c r="K60" s="0" t="n">
        <v>1387</v>
      </c>
      <c r="L60" s="3" t="n">
        <f aca="false">IF(AND(ISNUMBER(K60),ISNUMBER(G60)),K60/G60-1,"")</f>
        <v>-0.0211714890613973</v>
      </c>
      <c r="M60" s="0" t="str">
        <f aca="false">IF(OR(NOT(ISNUMBER(K60)),NOT(ISNUMBER(F60))),"no zone",IF(K60&lt;F60,"BELOW zone",IF(K60&lt;=G60,"IN ZONE","ABOVE zone")))</f>
        <v>IN ZONE</v>
      </c>
      <c r="N60" s="0" t="str">
        <f aca="false">IF(O60="","","Yes")</f>
        <v>Yes</v>
      </c>
      <c r="O60" s="4" t="s">
        <v>288</v>
      </c>
    </row>
    <row r="61" customFormat="false" ht="15" hidden="false" customHeight="false" outlineLevel="0" collapsed="false">
      <c r="A61" s="0" t="s">
        <v>195</v>
      </c>
      <c r="B61" s="0" t="s">
        <v>149</v>
      </c>
      <c r="C61" s="0" t="s">
        <v>289</v>
      </c>
      <c r="D61" s="0" t="s">
        <v>290</v>
      </c>
      <c r="E61" s="0" t="n">
        <v>422</v>
      </c>
      <c r="F61" s="0" t="n">
        <v>416</v>
      </c>
      <c r="G61" s="0" t="n">
        <v>422</v>
      </c>
      <c r="H61" s="0" t="n">
        <v>434</v>
      </c>
      <c r="I61" s="0" t="s">
        <v>291</v>
      </c>
      <c r="J61" s="0" t="s">
        <v>292</v>
      </c>
      <c r="K61" s="0" t="n">
        <v>418</v>
      </c>
      <c r="L61" s="3" t="n">
        <f aca="false">IF(AND(ISNUMBER(K61),ISNUMBER(G61)),K61/G61-1,"")</f>
        <v>-0.00947867298578198</v>
      </c>
      <c r="M61" s="0" t="str">
        <f aca="false">IF(OR(NOT(ISNUMBER(K61)),NOT(ISNUMBER(F61))),"no zone",IF(K61&lt;F61,"BELOW zone",IF(K61&lt;=G61,"IN ZONE","ABOVE zone")))</f>
        <v>IN ZONE</v>
      </c>
      <c r="N61" s="0" t="str">
        <f aca="false">IF(O61="","","Yes")</f>
        <v/>
      </c>
    </row>
    <row r="62" customFormat="false" ht="15" hidden="false" customHeight="false" outlineLevel="0" collapsed="false">
      <c r="A62" s="0" t="s">
        <v>195</v>
      </c>
      <c r="B62" s="0" t="s">
        <v>293</v>
      </c>
      <c r="C62" s="0" t="s">
        <v>294</v>
      </c>
      <c r="D62" s="0" t="s">
        <v>295</v>
      </c>
      <c r="E62" s="0" t="n">
        <v>4150</v>
      </c>
      <c r="F62" s="0" t="n">
        <v>4090</v>
      </c>
      <c r="G62" s="0" t="n">
        <v>4150</v>
      </c>
      <c r="H62" s="0" t="n">
        <v>6150</v>
      </c>
      <c r="I62" s="0" t="s">
        <v>296</v>
      </c>
      <c r="K62" s="0" t="n">
        <v>4285</v>
      </c>
      <c r="L62" s="3" t="n">
        <f aca="false">IF(AND(ISNUMBER(K62),ISNUMBER(G62)),K62/G62-1,"")</f>
        <v>0.0325301204819277</v>
      </c>
      <c r="M62" s="0" t="str">
        <f aca="false">IF(OR(NOT(ISNUMBER(K62)),NOT(ISNUMBER(F62))),"no zone",IF(K62&lt;F62,"BELOW zone",IF(K62&lt;=G62,"IN ZONE","ABOVE zone")))</f>
        <v>ABOVE zone</v>
      </c>
      <c r="N62" s="0" t="str">
        <f aca="false">IF(O62="","","Yes")</f>
        <v>Yes</v>
      </c>
      <c r="O62" s="4" t="s">
        <v>297</v>
      </c>
    </row>
    <row r="63" customFormat="false" ht="15" hidden="false" customHeight="false" outlineLevel="0" collapsed="false">
      <c r="A63" s="0" t="s">
        <v>195</v>
      </c>
      <c r="B63" s="0" t="s">
        <v>298</v>
      </c>
      <c r="C63" s="0" t="s">
        <v>299</v>
      </c>
      <c r="D63" s="0" t="s">
        <v>300</v>
      </c>
      <c r="E63" s="0" t="n">
        <v>305</v>
      </c>
      <c r="F63" s="0" t="n">
        <v>304</v>
      </c>
      <c r="G63" s="0" t="n">
        <v>305</v>
      </c>
      <c r="H63" s="0" t="n">
        <v>310</v>
      </c>
      <c r="I63" s="0" t="s">
        <v>301</v>
      </c>
      <c r="J63" s="0" t="s">
        <v>302</v>
      </c>
      <c r="K63" s="0" t="n">
        <v>327.3</v>
      </c>
      <c r="L63" s="3" t="n">
        <f aca="false">IF(AND(ISNUMBER(K63),ISNUMBER(G63)),K63/G63-1,"")</f>
        <v>0.0731147540983608</v>
      </c>
      <c r="M63" s="0" t="str">
        <f aca="false">IF(OR(NOT(ISNUMBER(K63)),NOT(ISNUMBER(F63))),"no zone",IF(K63&lt;F63,"BELOW zone",IF(K63&lt;=G63,"IN ZONE","ABOVE zone")))</f>
        <v>ABOVE zone</v>
      </c>
      <c r="N63" s="0" t="str">
        <f aca="false">IF(O63="","","Yes")</f>
        <v/>
      </c>
    </row>
    <row r="64" customFormat="false" ht="15" hidden="false" customHeight="false" outlineLevel="0" collapsed="false">
      <c r="A64" s="0" t="s">
        <v>195</v>
      </c>
      <c r="B64" s="0" t="s">
        <v>298</v>
      </c>
      <c r="C64" s="0" t="s">
        <v>303</v>
      </c>
      <c r="D64" s="0" t="s">
        <v>304</v>
      </c>
      <c r="E64" s="0" t="n">
        <v>782</v>
      </c>
      <c r="F64" s="0" t="n">
        <v>780</v>
      </c>
      <c r="G64" s="0" t="n">
        <v>782</v>
      </c>
      <c r="H64" s="0" t="n">
        <v>795</v>
      </c>
      <c r="I64" s="0" t="s">
        <v>305</v>
      </c>
      <c r="J64" s="0" t="s">
        <v>306</v>
      </c>
      <c r="K64" s="0" t="n">
        <v>682.5</v>
      </c>
      <c r="L64" s="3" t="n">
        <f aca="false">IF(AND(ISNUMBER(K64),ISNUMBER(G64)),K64/G64-1,"")</f>
        <v>-0.127237851662404</v>
      </c>
      <c r="M64" s="0" t="str">
        <f aca="false">IF(OR(NOT(ISNUMBER(K64)),NOT(ISNUMBER(F64))),"no zone",IF(K64&lt;F64,"BELOW zone",IF(K64&lt;=G64,"IN ZONE","ABOVE zone")))</f>
        <v>BELOW zone</v>
      </c>
      <c r="N64" s="0" t="str">
        <f aca="false">IF(O64="","","Yes")</f>
        <v/>
      </c>
    </row>
    <row r="65" customFormat="false" ht="15" hidden="false" customHeight="false" outlineLevel="0" collapsed="false">
      <c r="A65" s="0" t="s">
        <v>195</v>
      </c>
      <c r="B65" s="0" t="s">
        <v>298</v>
      </c>
      <c r="C65" s="0" t="s">
        <v>307</v>
      </c>
      <c r="D65" s="0" t="s">
        <v>308</v>
      </c>
      <c r="E65" s="0" t="n">
        <v>120</v>
      </c>
      <c r="F65" s="0" t="n">
        <v>111.1</v>
      </c>
      <c r="G65" s="0" t="n">
        <v>120</v>
      </c>
      <c r="H65" s="0" t="n">
        <v>123</v>
      </c>
      <c r="I65" s="0" t="s">
        <v>309</v>
      </c>
      <c r="J65" s="0" t="s">
        <v>310</v>
      </c>
      <c r="K65" s="0" t="n">
        <v>122</v>
      </c>
      <c r="L65" s="3" t="n">
        <f aca="false">IF(AND(ISNUMBER(K65),ISNUMBER(G65)),K65/G65-1,"")</f>
        <v>0.0166666666666666</v>
      </c>
      <c r="M65" s="0" t="str">
        <f aca="false">IF(OR(NOT(ISNUMBER(K65)),NOT(ISNUMBER(F65))),"no zone",IF(K65&lt;F65,"BELOW zone",IF(K65&lt;=G65,"IN ZONE","ABOVE zone")))</f>
        <v>ABOVE zone</v>
      </c>
      <c r="N65" s="0" t="str">
        <f aca="false">IF(O65="","","Yes")</f>
        <v/>
      </c>
    </row>
    <row r="66" customFormat="false" ht="15" hidden="false" customHeight="false" outlineLevel="0" collapsed="false">
      <c r="A66" s="0" t="s">
        <v>195</v>
      </c>
      <c r="B66" s="0" t="s">
        <v>311</v>
      </c>
      <c r="C66" s="0" t="s">
        <v>312</v>
      </c>
      <c r="D66" s="0" t="s">
        <v>313</v>
      </c>
      <c r="E66" s="0" t="n">
        <v>689</v>
      </c>
      <c r="F66" s="0" t="n">
        <v>571.3</v>
      </c>
      <c r="G66" s="0" t="n">
        <v>689</v>
      </c>
      <c r="H66" s="0" t="n">
        <v>1020</v>
      </c>
      <c r="I66" s="0" t="s">
        <v>314</v>
      </c>
      <c r="K66" s="0" t="n">
        <v>638.3</v>
      </c>
      <c r="L66" s="3" t="n">
        <f aca="false">IF(AND(ISNUMBER(K66),ISNUMBER(G66)),K66/G66-1,"")</f>
        <v>-0.0735849056603775</v>
      </c>
      <c r="M66" s="0" t="str">
        <f aca="false">IF(OR(NOT(ISNUMBER(K66)),NOT(ISNUMBER(F66))),"no zone",IF(K66&lt;F66,"BELOW zone",IF(K66&lt;=G66,"IN ZONE","ABOVE zone")))</f>
        <v>IN ZONE</v>
      </c>
      <c r="N66" s="0" t="str">
        <f aca="false">IF(O66="","","Yes")</f>
        <v>Yes</v>
      </c>
      <c r="O66" s="4" t="s">
        <v>315</v>
      </c>
    </row>
    <row r="67" customFormat="false" ht="15" hidden="false" customHeight="false" outlineLevel="0" collapsed="false">
      <c r="A67" s="0" t="s">
        <v>195</v>
      </c>
      <c r="B67" s="0" t="s">
        <v>316</v>
      </c>
      <c r="C67" s="0" t="s">
        <v>317</v>
      </c>
      <c r="D67" s="0" t="s">
        <v>318</v>
      </c>
      <c r="E67" s="0" t="n">
        <v>607</v>
      </c>
      <c r="F67" s="0" t="n">
        <v>605</v>
      </c>
      <c r="G67" s="0" t="n">
        <v>607</v>
      </c>
      <c r="H67" s="0" t="n">
        <v>694</v>
      </c>
      <c r="I67" s="0" t="s">
        <v>319</v>
      </c>
      <c r="J67" s="0" t="s">
        <v>320</v>
      </c>
      <c r="K67" s="0" t="n">
        <v>570</v>
      </c>
      <c r="L67" s="3" t="n">
        <f aca="false">IF(AND(ISNUMBER(K67),ISNUMBER(G67)),K67/G67-1,"")</f>
        <v>-0.0609555189456342</v>
      </c>
      <c r="M67" s="0" t="str">
        <f aca="false">IF(OR(NOT(ISNUMBER(K67)),NOT(ISNUMBER(F67))),"no zone",IF(K67&lt;F67,"BELOW zone",IF(K67&lt;=G67,"IN ZONE","ABOVE zone")))</f>
        <v>BELOW zone</v>
      </c>
      <c r="N67" s="0" t="str">
        <f aca="false">IF(O67="","","Yes")</f>
        <v/>
      </c>
    </row>
    <row r="68" customFormat="false" ht="15" hidden="false" customHeight="false" outlineLevel="0" collapsed="false">
      <c r="A68" s="0" t="s">
        <v>195</v>
      </c>
      <c r="B68" s="0" t="s">
        <v>316</v>
      </c>
      <c r="C68" s="0" t="s">
        <v>321</v>
      </c>
      <c r="D68" s="0" t="s">
        <v>322</v>
      </c>
      <c r="E68" s="0" t="n">
        <v>320</v>
      </c>
      <c r="F68" s="0" t="n">
        <v>310</v>
      </c>
      <c r="G68" s="0" t="n">
        <v>320</v>
      </c>
      <c r="H68" s="0" t="n">
        <v>330</v>
      </c>
      <c r="I68" s="0" t="s">
        <v>323</v>
      </c>
      <c r="J68" s="0" t="s">
        <v>324</v>
      </c>
      <c r="K68" s="0" t="n">
        <v>293.25</v>
      </c>
      <c r="L68" s="3" t="n">
        <f aca="false">IF(AND(ISNUMBER(K68),ISNUMBER(G68)),K68/G68-1,"")</f>
        <v>-0.08359375</v>
      </c>
      <c r="M68" s="0" t="str">
        <f aca="false">IF(OR(NOT(ISNUMBER(K68)),NOT(ISNUMBER(F68))),"no zone",IF(K68&lt;F68,"BELOW zone",IF(K68&lt;=G68,"IN ZONE","ABOVE zone")))</f>
        <v>BELOW zone</v>
      </c>
      <c r="N68" s="0" t="str">
        <f aca="false">IF(O68="","","Yes")</f>
        <v>Yes</v>
      </c>
      <c r="O68" s="4" t="s">
        <v>279</v>
      </c>
    </row>
    <row r="69" customFormat="false" ht="15" hidden="false" customHeight="false" outlineLevel="0" collapsed="false">
      <c r="A69" s="0" t="s">
        <v>195</v>
      </c>
      <c r="B69" s="0" t="s">
        <v>316</v>
      </c>
      <c r="C69" s="0" t="s">
        <v>325</v>
      </c>
      <c r="D69" s="0" t="s">
        <v>326</v>
      </c>
      <c r="E69" s="0" t="n">
        <v>806</v>
      </c>
      <c r="F69" s="0" t="n">
        <v>753.7</v>
      </c>
      <c r="G69" s="0" t="n">
        <v>806</v>
      </c>
      <c r="H69" s="0" t="n">
        <v>1400</v>
      </c>
      <c r="I69" s="0" t="s">
        <v>283</v>
      </c>
      <c r="K69" s="0" t="n">
        <v>719.8</v>
      </c>
      <c r="L69" s="3" t="n">
        <f aca="false">IF(AND(ISNUMBER(K69),ISNUMBER(G69)),K69/G69-1,"")</f>
        <v>-0.106947890818859</v>
      </c>
      <c r="M69" s="0" t="str">
        <f aca="false">IF(OR(NOT(ISNUMBER(K69)),NOT(ISNUMBER(F69))),"no zone",IF(K69&lt;F69,"BELOW zone",IF(K69&lt;=G69,"IN ZONE","ABOVE zone")))</f>
        <v>BELOW zone</v>
      </c>
      <c r="N69" s="0" t="str">
        <f aca="false">IF(O69="","","Yes")</f>
        <v>Yes</v>
      </c>
      <c r="O69" s="4" t="s">
        <v>327</v>
      </c>
    </row>
    <row r="70" customFormat="false" ht="15" hidden="false" customHeight="false" outlineLevel="0" collapsed="false">
      <c r="A70" s="0" t="s">
        <v>195</v>
      </c>
      <c r="B70" s="0" t="s">
        <v>316</v>
      </c>
      <c r="C70" s="0" t="s">
        <v>328</v>
      </c>
      <c r="D70" s="0" t="s">
        <v>329</v>
      </c>
      <c r="E70" s="0" t="n">
        <v>200</v>
      </c>
      <c r="F70" s="0" t="n">
        <v>184</v>
      </c>
      <c r="G70" s="0" t="n">
        <v>190</v>
      </c>
      <c r="H70" s="0" t="n">
        <v>205</v>
      </c>
      <c r="I70" s="0" t="s">
        <v>330</v>
      </c>
      <c r="J70" s="0" t="s">
        <v>331</v>
      </c>
      <c r="K70" s="0" t="n">
        <v>172</v>
      </c>
      <c r="L70" s="3" t="n">
        <f aca="false">IF(AND(ISNUMBER(K70),ISNUMBER(G70)),K70/G70-1,"")</f>
        <v>-0.0947368421052631</v>
      </c>
      <c r="M70" s="0" t="str">
        <f aca="false">IF(OR(NOT(ISNUMBER(K70)),NOT(ISNUMBER(F70))),"no zone",IF(K70&lt;F70,"BELOW zone",IF(K70&lt;=G70,"IN ZONE","ABOVE zone")))</f>
        <v>BELOW zone</v>
      </c>
      <c r="N70" s="0" t="str">
        <f aca="false">IF(O70="","","Yes")</f>
        <v>Yes</v>
      </c>
      <c r="O70" s="4" t="s">
        <v>332</v>
      </c>
    </row>
    <row r="71" customFormat="false" ht="15" hidden="false" customHeight="false" outlineLevel="0" collapsed="false">
      <c r="A71" s="0" t="s">
        <v>195</v>
      </c>
      <c r="B71" s="0" t="s">
        <v>164</v>
      </c>
      <c r="C71" s="0" t="s">
        <v>333</v>
      </c>
      <c r="D71" s="0" t="s">
        <v>334</v>
      </c>
      <c r="E71" s="0" t="n">
        <v>23.1</v>
      </c>
      <c r="F71" s="0" t="n">
        <v>23</v>
      </c>
      <c r="G71" s="0" t="n">
        <v>23.1</v>
      </c>
      <c r="K71" s="0" t="n">
        <v>23.28</v>
      </c>
      <c r="L71" s="3" t="n">
        <f aca="false">IF(AND(ISNUMBER(K71),ISNUMBER(G71)),K71/G71-1,"")</f>
        <v>0.00779220779220768</v>
      </c>
      <c r="M71" s="0" t="str">
        <f aca="false">IF(OR(NOT(ISNUMBER(K71)),NOT(ISNUMBER(F71))),"no zone",IF(K71&lt;F71,"BELOW zone",IF(K71&lt;=G71,"IN ZONE","ABOVE zone")))</f>
        <v>ABOVE zone</v>
      </c>
      <c r="N71" s="0" t="str">
        <f aca="false">IF(O71="","","Yes")</f>
        <v>Yes</v>
      </c>
      <c r="O71" s="4" t="s">
        <v>215</v>
      </c>
    </row>
    <row r="72" customFormat="false" ht="15" hidden="false" customHeight="false" outlineLevel="0" collapsed="false">
      <c r="A72" s="0" t="s">
        <v>195</v>
      </c>
      <c r="B72" s="0" t="s">
        <v>168</v>
      </c>
      <c r="C72" s="0" t="s">
        <v>335</v>
      </c>
      <c r="D72" s="0" t="s">
        <v>336</v>
      </c>
      <c r="E72" s="0" t="n">
        <v>205</v>
      </c>
      <c r="F72" s="0" t="n">
        <v>204</v>
      </c>
      <c r="G72" s="0" t="n">
        <v>205</v>
      </c>
      <c r="H72" s="0" t="n">
        <v>259</v>
      </c>
      <c r="I72" s="0" t="s">
        <v>337</v>
      </c>
      <c r="J72" s="0" t="s">
        <v>338</v>
      </c>
      <c r="K72" s="0" t="n">
        <v>190.5</v>
      </c>
      <c r="L72" s="3" t="n">
        <f aca="false">IF(AND(ISNUMBER(K72),ISNUMBER(G72)),K72/G72-1,"")</f>
        <v>-0.0707317073170731</v>
      </c>
      <c r="M72" s="0" t="str">
        <f aca="false">IF(OR(NOT(ISNUMBER(K72)),NOT(ISNUMBER(F72))),"no zone",IF(K72&lt;F72,"BELOW zone",IF(K72&lt;=G72,"IN ZONE","ABOVE zone")))</f>
        <v>BELOW zone</v>
      </c>
      <c r="N72" s="0" t="str">
        <f aca="false">IF(O72="","","Yes")</f>
        <v>Yes</v>
      </c>
      <c r="O72" s="4" t="s">
        <v>339</v>
      </c>
    </row>
    <row r="73" customFormat="false" ht="15" hidden="false" customHeight="false" outlineLevel="0" collapsed="false">
      <c r="A73" s="0" t="s">
        <v>195</v>
      </c>
      <c r="B73" s="0" t="s">
        <v>174</v>
      </c>
      <c r="C73" s="0" t="s">
        <v>340</v>
      </c>
      <c r="D73" s="0" t="s">
        <v>341</v>
      </c>
      <c r="E73" s="0" t="n">
        <v>285</v>
      </c>
      <c r="F73" s="0" t="n">
        <v>281.1</v>
      </c>
      <c r="G73" s="0" t="n">
        <v>285</v>
      </c>
      <c r="K73" s="0" t="n">
        <v>282.35</v>
      </c>
      <c r="L73" s="3" t="n">
        <f aca="false">IF(AND(ISNUMBER(K73),ISNUMBER(G73)),K73/G73-1,"")</f>
        <v>-0.00929824561403503</v>
      </c>
      <c r="M73" s="0" t="str">
        <f aca="false">IF(OR(NOT(ISNUMBER(K73)),NOT(ISNUMBER(F73))),"no zone",IF(K73&lt;F73,"BELOW zone",IF(K73&lt;=G73,"IN ZONE","ABOVE zone")))</f>
        <v>IN ZONE</v>
      </c>
      <c r="N73" s="0" t="str">
        <f aca="false">IF(O73="","","Yes")</f>
        <v>Yes</v>
      </c>
      <c r="O73" s="4" t="s">
        <v>342</v>
      </c>
    </row>
    <row r="74" customFormat="false" ht="15" hidden="false" customHeight="false" outlineLevel="0" collapsed="false">
      <c r="A74" s="0" t="s">
        <v>343</v>
      </c>
      <c r="B74" s="0" t="s">
        <v>344</v>
      </c>
      <c r="C74" s="0" t="s">
        <v>345</v>
      </c>
      <c r="D74" s="0" t="s">
        <v>346</v>
      </c>
      <c r="E74" s="0" t="n">
        <v>121</v>
      </c>
      <c r="F74" s="0" t="n">
        <v>117.4</v>
      </c>
      <c r="G74" s="0" t="n">
        <v>121</v>
      </c>
      <c r="K74" s="0" t="n">
        <v>120.99</v>
      </c>
      <c r="L74" s="3" t="n">
        <f aca="false">IF(AND(ISNUMBER(K74),ISNUMBER(G74)),K74/G74-1,"")</f>
        <v>-8.26446280992599E-005</v>
      </c>
      <c r="M74" s="0" t="str">
        <f aca="false">IF(OR(NOT(ISNUMBER(K74)),NOT(ISNUMBER(F74))),"no zone",IF(K74&lt;F74,"BELOW zone",IF(K74&lt;=G74,"IN ZONE","ABOVE zone")))</f>
        <v>IN ZONE</v>
      </c>
      <c r="N74" s="0" t="str">
        <f aca="false">IF(O74="","","Yes")</f>
        <v/>
      </c>
    </row>
    <row r="75" customFormat="false" ht="15" hidden="false" customHeight="false" outlineLevel="0" collapsed="false">
      <c r="A75" s="0" t="s">
        <v>343</v>
      </c>
      <c r="B75" s="0" t="s">
        <v>347</v>
      </c>
      <c r="C75" s="0" t="s">
        <v>348</v>
      </c>
      <c r="D75" s="0" t="s">
        <v>349</v>
      </c>
      <c r="E75" s="0" t="n">
        <v>206.3</v>
      </c>
      <c r="F75" s="0" t="n">
        <v>204.9</v>
      </c>
      <c r="G75" s="0" t="n">
        <v>206.3</v>
      </c>
      <c r="K75" s="0" t="n">
        <v>206.1</v>
      </c>
      <c r="L75" s="3" t="n">
        <f aca="false">IF(AND(ISNUMBER(K75),ISNUMBER(G75)),K75/G75-1,"")</f>
        <v>-0.000969461948618577</v>
      </c>
      <c r="M75" s="0" t="str">
        <f aca="false">IF(OR(NOT(ISNUMBER(K75)),NOT(ISNUMBER(F75))),"no zone",IF(K75&lt;F75,"BELOW zone",IF(K75&lt;=G75,"IN ZONE","ABOVE zone")))</f>
        <v>IN ZONE</v>
      </c>
      <c r="N75" s="0" t="str">
        <f aca="false">IF(O75="","","Yes")</f>
        <v/>
      </c>
    </row>
    <row r="76" customFormat="false" ht="15" hidden="false" customHeight="false" outlineLevel="0" collapsed="false">
      <c r="A76" s="0" t="s">
        <v>343</v>
      </c>
      <c r="B76" s="0" t="s">
        <v>204</v>
      </c>
      <c r="C76" s="0" t="s">
        <v>350</v>
      </c>
      <c r="D76" s="0" t="s">
        <v>351</v>
      </c>
      <c r="E76" s="0" t="n">
        <v>465.7</v>
      </c>
      <c r="F76" s="0" t="n">
        <v>459.4</v>
      </c>
      <c r="G76" s="0" t="n">
        <v>465.7</v>
      </c>
      <c r="K76" s="0" t="n">
        <v>491.9</v>
      </c>
      <c r="L76" s="3" t="n">
        <f aca="false">IF(AND(ISNUMBER(K76),ISNUMBER(G76)),K76/G76-1,"")</f>
        <v>0.0562593944599528</v>
      </c>
      <c r="M76" s="0" t="str">
        <f aca="false">IF(OR(NOT(ISNUMBER(K76)),NOT(ISNUMBER(F76))),"no zone",IF(K76&lt;F76,"BELOW zone",IF(K76&lt;=G76,"IN ZONE","ABOVE zone")))</f>
        <v>ABOVE zone</v>
      </c>
      <c r="N76" s="0" t="str">
        <f aca="false">IF(O76="","","Yes")</f>
        <v/>
      </c>
    </row>
    <row r="77" customFormat="false" ht="15" hidden="false" customHeight="false" outlineLevel="0" collapsed="false">
      <c r="A77" s="0" t="s">
        <v>343</v>
      </c>
      <c r="B77" s="0" t="s">
        <v>204</v>
      </c>
      <c r="C77" s="0" t="s">
        <v>352</v>
      </c>
      <c r="D77" s="0" t="s">
        <v>353</v>
      </c>
      <c r="E77" s="0" t="n">
        <v>71.64</v>
      </c>
      <c r="F77" s="0" t="n">
        <v>69.49</v>
      </c>
      <c r="G77" s="0" t="n">
        <v>71.64</v>
      </c>
      <c r="K77" s="0" t="n">
        <v>70.2</v>
      </c>
      <c r="L77" s="3" t="n">
        <f aca="false">IF(AND(ISNUMBER(K77),ISNUMBER(G77)),K77/G77-1,"")</f>
        <v>-0.0201005025125628</v>
      </c>
      <c r="M77" s="0" t="str">
        <f aca="false">IF(OR(NOT(ISNUMBER(K77)),NOT(ISNUMBER(F77))),"no zone",IF(K77&lt;F77,"BELOW zone",IF(K77&lt;=G77,"IN ZONE","ABOVE zone")))</f>
        <v>IN ZONE</v>
      </c>
      <c r="N77" s="0" t="str">
        <f aca="false">IF(O77="","","Yes")</f>
        <v>Yes</v>
      </c>
      <c r="O77" s="4" t="s">
        <v>354</v>
      </c>
    </row>
    <row r="78" customFormat="false" ht="15" hidden="false" customHeight="false" outlineLevel="0" collapsed="false">
      <c r="A78" s="0" t="s">
        <v>343</v>
      </c>
      <c r="B78" s="0" t="s">
        <v>355</v>
      </c>
      <c r="C78" s="0" t="s">
        <v>356</v>
      </c>
      <c r="D78" s="0" t="s">
        <v>357</v>
      </c>
      <c r="E78" s="0" t="n">
        <v>199.8</v>
      </c>
      <c r="F78" s="0" t="n">
        <v>193.8</v>
      </c>
      <c r="G78" s="0" t="n">
        <v>199.8</v>
      </c>
      <c r="K78" s="0" t="n">
        <v>188.5</v>
      </c>
      <c r="L78" s="3" t="n">
        <f aca="false">IF(AND(ISNUMBER(K78),ISNUMBER(G78)),K78/G78-1,"")</f>
        <v>-0.0565565565565566</v>
      </c>
      <c r="M78" s="0" t="str">
        <f aca="false">IF(OR(NOT(ISNUMBER(K78)),NOT(ISNUMBER(F78))),"no zone",IF(K78&lt;F78,"BELOW zone",IF(K78&lt;=G78,"IN ZONE","ABOVE zone")))</f>
        <v>BELOW zone</v>
      </c>
      <c r="N78" s="0" t="str">
        <f aca="false">IF(O78="","","Yes")</f>
        <v>Yes</v>
      </c>
      <c r="O78" s="4" t="s">
        <v>123</v>
      </c>
    </row>
    <row r="79" customFormat="false" ht="15" hidden="false" customHeight="false" outlineLevel="0" collapsed="false">
      <c r="A79" s="0" t="s">
        <v>343</v>
      </c>
      <c r="B79" s="0" t="s">
        <v>355</v>
      </c>
      <c r="C79" s="0" t="s">
        <v>358</v>
      </c>
      <c r="D79" s="0" t="s">
        <v>358</v>
      </c>
      <c r="E79" s="0" t="n">
        <v>76.07</v>
      </c>
      <c r="F79" s="0" t="n">
        <v>73.79</v>
      </c>
      <c r="G79" s="0" t="n">
        <v>76.07</v>
      </c>
      <c r="K79" s="0" t="n">
        <v>74.46</v>
      </c>
      <c r="L79" s="3" t="n">
        <f aca="false">IF(AND(ISNUMBER(K79),ISNUMBER(G79)),K79/G79-1,"")</f>
        <v>-0.021164716708295</v>
      </c>
      <c r="M79" s="0" t="str">
        <f aca="false">IF(OR(NOT(ISNUMBER(K79)),NOT(ISNUMBER(F79))),"no zone",IF(K79&lt;F79,"BELOW zone",IF(K79&lt;=G79,"IN ZONE","ABOVE zone")))</f>
        <v>IN ZONE</v>
      </c>
      <c r="N79" s="0" t="str">
        <f aca="false">IF(O79="","","Yes")</f>
        <v/>
      </c>
    </row>
    <row r="80" customFormat="false" ht="15" hidden="false" customHeight="false" outlineLevel="0" collapsed="false">
      <c r="A80" s="0" t="s">
        <v>343</v>
      </c>
      <c r="B80" s="0" t="s">
        <v>359</v>
      </c>
      <c r="C80" s="0" t="s">
        <v>360</v>
      </c>
      <c r="D80" s="0" t="s">
        <v>361</v>
      </c>
      <c r="E80" s="0" t="n">
        <v>71.98</v>
      </c>
      <c r="F80" s="0" t="n">
        <v>69.82</v>
      </c>
      <c r="G80" s="0" t="n">
        <v>71.98</v>
      </c>
      <c r="K80" s="0" t="n">
        <v>77.59</v>
      </c>
      <c r="L80" s="3" t="n">
        <f aca="false">IF(AND(ISNUMBER(K80),ISNUMBER(G80)),K80/G80-1,"")</f>
        <v>0.0779383161989442</v>
      </c>
      <c r="M80" s="0" t="str">
        <f aca="false">IF(OR(NOT(ISNUMBER(K80)),NOT(ISNUMBER(F80))),"no zone",IF(K80&lt;F80,"BELOW zone",IF(K80&lt;=G80,"IN ZONE","ABOVE zone")))</f>
        <v>ABOVE zone</v>
      </c>
      <c r="N80" s="0" t="str">
        <f aca="false">IF(O80="","","Yes")</f>
        <v/>
      </c>
    </row>
    <row r="81" customFormat="false" ht="15" hidden="false" customHeight="false" outlineLevel="0" collapsed="false">
      <c r="A81" s="0" t="s">
        <v>343</v>
      </c>
      <c r="B81" s="0" t="s">
        <v>362</v>
      </c>
      <c r="C81" s="0" t="s">
        <v>363</v>
      </c>
      <c r="D81" s="0" t="s">
        <v>364</v>
      </c>
      <c r="E81" s="0" t="n">
        <v>146.1</v>
      </c>
      <c r="F81" s="0" t="n">
        <v>143</v>
      </c>
      <c r="G81" s="0" t="n">
        <v>146.1</v>
      </c>
      <c r="K81" s="0" t="n">
        <v>143.2</v>
      </c>
      <c r="L81" s="3" t="n">
        <f aca="false">IF(AND(ISNUMBER(K81),ISNUMBER(G81)),K81/G81-1,"")</f>
        <v>-0.0198494182067078</v>
      </c>
      <c r="M81" s="0" t="str">
        <f aca="false">IF(OR(NOT(ISNUMBER(K81)),NOT(ISNUMBER(F81))),"no zone",IF(K81&lt;F81,"BELOW zone",IF(K81&lt;=G81,"IN ZONE","ABOVE zone")))</f>
        <v>IN ZONE</v>
      </c>
      <c r="N81" s="0" t="str">
        <f aca="false">IF(O81="","","Yes")</f>
        <v>Yes</v>
      </c>
      <c r="O81" s="4" t="s">
        <v>365</v>
      </c>
    </row>
    <row r="82" customFormat="false" ht="15" hidden="false" customHeight="false" outlineLevel="0" collapsed="false">
      <c r="A82" s="0" t="s">
        <v>343</v>
      </c>
      <c r="B82" s="0" t="s">
        <v>362</v>
      </c>
      <c r="C82" s="0" t="s">
        <v>366</v>
      </c>
      <c r="D82" s="0" t="s">
        <v>367</v>
      </c>
      <c r="E82" s="0" t="n">
        <v>1418</v>
      </c>
      <c r="F82" s="0" t="n">
        <v>1268</v>
      </c>
      <c r="G82" s="0" t="n">
        <v>1418</v>
      </c>
      <c r="K82" s="0" t="n">
        <v>1544</v>
      </c>
      <c r="L82" s="3" t="n">
        <f aca="false">IF(AND(ISNUMBER(K82),ISNUMBER(G82)),K82/G82-1,"")</f>
        <v>0.0888575458392102</v>
      </c>
      <c r="M82" s="0" t="str">
        <f aca="false">IF(OR(NOT(ISNUMBER(K82)),NOT(ISNUMBER(F82))),"no zone",IF(K82&lt;F82,"BELOW zone",IF(K82&lt;=G82,"IN ZONE","ABOVE zone")))</f>
        <v>ABOVE zone</v>
      </c>
      <c r="N82" s="0" t="str">
        <f aca="false">IF(O82="","","Yes")</f>
        <v/>
      </c>
    </row>
    <row r="83" customFormat="false" ht="15" hidden="false" customHeight="false" outlineLevel="0" collapsed="false">
      <c r="A83" s="0" t="s">
        <v>343</v>
      </c>
      <c r="B83" s="0" t="s">
        <v>368</v>
      </c>
      <c r="C83" s="0" t="s">
        <v>369</v>
      </c>
      <c r="D83" s="0" t="s">
        <v>370</v>
      </c>
      <c r="E83" s="0" t="n">
        <v>9900</v>
      </c>
      <c r="F83" s="0" t="n">
        <v>9603</v>
      </c>
      <c r="G83" s="0" t="n">
        <v>9900</v>
      </c>
      <c r="K83" s="0" t="n">
        <v>9778</v>
      </c>
      <c r="L83" s="3" t="n">
        <f aca="false">IF(AND(ISNUMBER(K83),ISNUMBER(G83)),K83/G83-1,"")</f>
        <v>-0.0123232323232323</v>
      </c>
      <c r="M83" s="0" t="str">
        <f aca="false">IF(OR(NOT(ISNUMBER(K83)),NOT(ISNUMBER(F83))),"no zone",IF(K83&lt;F83,"BELOW zone",IF(K83&lt;=G83,"IN ZONE","ABOVE zone")))</f>
        <v>IN ZONE</v>
      </c>
      <c r="N83" s="0" t="str">
        <f aca="false">IF(O83="","","Yes")</f>
        <v/>
      </c>
    </row>
    <row r="84" customFormat="false" ht="15" hidden="false" customHeight="false" outlineLevel="0" collapsed="false">
      <c r="A84" s="0" t="s">
        <v>343</v>
      </c>
      <c r="B84" s="0" t="s">
        <v>368</v>
      </c>
      <c r="C84" s="0" t="s">
        <v>371</v>
      </c>
      <c r="D84" s="0" t="s">
        <v>372</v>
      </c>
      <c r="E84" s="0" t="n">
        <v>196.8</v>
      </c>
      <c r="F84" s="0" t="n">
        <v>190.9</v>
      </c>
      <c r="G84" s="0" t="n">
        <v>196.8</v>
      </c>
      <c r="K84" s="0" t="n">
        <v>198.02</v>
      </c>
      <c r="L84" s="3" t="n">
        <f aca="false">IF(AND(ISNUMBER(K84),ISNUMBER(G84)),K84/G84-1,"")</f>
        <v>0.00619918699186983</v>
      </c>
      <c r="M84" s="0" t="str">
        <f aca="false">IF(OR(NOT(ISNUMBER(K84)),NOT(ISNUMBER(F84))),"no zone",IF(K84&lt;F84,"BELOW zone",IF(K84&lt;=G84,"IN ZONE","ABOVE zone")))</f>
        <v>ABOVE zone</v>
      </c>
      <c r="N84" s="0" t="str">
        <f aca="false">IF(O84="","","Yes")</f>
        <v>Yes</v>
      </c>
      <c r="O84" s="4" t="s">
        <v>215</v>
      </c>
    </row>
    <row r="85" customFormat="false" ht="15" hidden="false" customHeight="false" outlineLevel="0" collapsed="false">
      <c r="A85" s="0" t="s">
        <v>343</v>
      </c>
      <c r="B85" s="0" t="s">
        <v>222</v>
      </c>
      <c r="C85" s="0" t="s">
        <v>373</v>
      </c>
      <c r="D85" s="0" t="s">
        <v>373</v>
      </c>
      <c r="E85" s="0" t="n">
        <v>332.2</v>
      </c>
      <c r="F85" s="0" t="n">
        <v>328.8</v>
      </c>
      <c r="G85" s="0" t="n">
        <v>332.2</v>
      </c>
      <c r="K85" s="0" t="n">
        <v>330</v>
      </c>
      <c r="L85" s="3" t="n">
        <f aca="false">IF(AND(ISNUMBER(K85),ISNUMBER(G85)),K85/G85-1,"")</f>
        <v>-0.00662251655629131</v>
      </c>
      <c r="M85" s="0" t="str">
        <f aca="false">IF(OR(NOT(ISNUMBER(K85)),NOT(ISNUMBER(F85))),"no zone",IF(K85&lt;F85,"BELOW zone",IF(K85&lt;=G85,"IN ZONE","ABOVE zone")))</f>
        <v>IN ZONE</v>
      </c>
      <c r="N85" s="0" t="str">
        <f aca="false">IF(O85="","","Yes")</f>
        <v/>
      </c>
    </row>
    <row r="86" customFormat="false" ht="15" hidden="false" customHeight="false" outlineLevel="0" collapsed="false">
      <c r="A86" s="0" t="s">
        <v>343</v>
      </c>
      <c r="B86" s="0" t="s">
        <v>222</v>
      </c>
      <c r="C86" s="0" t="s">
        <v>374</v>
      </c>
      <c r="D86" s="0" t="s">
        <v>375</v>
      </c>
      <c r="E86" s="0" t="n">
        <v>878</v>
      </c>
      <c r="F86" s="0" t="n">
        <v>851.7</v>
      </c>
      <c r="G86" s="0" t="n">
        <v>878</v>
      </c>
      <c r="K86" s="0" t="n">
        <v>861.65</v>
      </c>
      <c r="L86" s="3" t="n">
        <f aca="false">IF(AND(ISNUMBER(K86),ISNUMBER(G86)),K86/G86-1,"")</f>
        <v>-0.018621867881549</v>
      </c>
      <c r="M86" s="0" t="str">
        <f aca="false">IF(OR(NOT(ISNUMBER(K86)),NOT(ISNUMBER(F86))),"no zone",IF(K86&lt;F86,"BELOW zone",IF(K86&lt;=G86,"IN ZONE","ABOVE zone")))</f>
        <v>IN ZONE</v>
      </c>
      <c r="N86" s="0" t="str">
        <f aca="false">IF(O86="","","Yes")</f>
        <v/>
      </c>
    </row>
    <row r="87" customFormat="false" ht="15" hidden="false" customHeight="false" outlineLevel="0" collapsed="false">
      <c r="A87" s="0" t="s">
        <v>343</v>
      </c>
      <c r="B87" s="0" t="s">
        <v>376</v>
      </c>
      <c r="C87" s="0" t="s">
        <v>377</v>
      </c>
      <c r="D87" s="0" t="s">
        <v>378</v>
      </c>
      <c r="E87" s="0" t="n">
        <v>348</v>
      </c>
      <c r="F87" s="0" t="n">
        <v>337.6</v>
      </c>
      <c r="G87" s="0" t="n">
        <v>348</v>
      </c>
      <c r="K87" s="0" t="n">
        <v>339</v>
      </c>
      <c r="L87" s="3" t="n">
        <f aca="false">IF(AND(ISNUMBER(K87),ISNUMBER(G87)),K87/G87-1,"")</f>
        <v>-0.0258620689655172</v>
      </c>
      <c r="M87" s="0" t="str">
        <f aca="false">IF(OR(NOT(ISNUMBER(K87)),NOT(ISNUMBER(F87))),"no zone",IF(K87&lt;F87,"BELOW zone",IF(K87&lt;=G87,"IN ZONE","ABOVE zone")))</f>
        <v>IN ZONE</v>
      </c>
      <c r="N87" s="0" t="str">
        <f aca="false">IF(O87="","","Yes")</f>
        <v/>
      </c>
    </row>
    <row r="88" customFormat="false" ht="15" hidden="false" customHeight="false" outlineLevel="0" collapsed="false">
      <c r="A88" s="0" t="s">
        <v>343</v>
      </c>
      <c r="B88" s="0" t="s">
        <v>379</v>
      </c>
      <c r="C88" s="0" t="s">
        <v>380</v>
      </c>
      <c r="D88" s="0" t="s">
        <v>381</v>
      </c>
      <c r="E88" s="0" t="n">
        <v>201.1</v>
      </c>
      <c r="F88" s="0" t="n">
        <v>195.1</v>
      </c>
      <c r="G88" s="0" t="n">
        <v>201.1</v>
      </c>
      <c r="K88" s="0" t="n">
        <v>205.11</v>
      </c>
      <c r="L88" s="3" t="n">
        <f aca="false">IF(AND(ISNUMBER(K88),ISNUMBER(G88)),K88/G88-1,"")</f>
        <v>0.019940328194928</v>
      </c>
      <c r="M88" s="0" t="str">
        <f aca="false">IF(OR(NOT(ISNUMBER(K88)),NOT(ISNUMBER(F88))),"no zone",IF(K88&lt;F88,"BELOW zone",IF(K88&lt;=G88,"IN ZONE","ABOVE zone")))</f>
        <v>ABOVE zone</v>
      </c>
      <c r="N88" s="0" t="str">
        <f aca="false">IF(O88="","","Yes")</f>
        <v/>
      </c>
    </row>
    <row r="89" customFormat="false" ht="15" hidden="false" customHeight="false" outlineLevel="0" collapsed="false">
      <c r="A89" s="0" t="s">
        <v>343</v>
      </c>
      <c r="B89" s="0" t="s">
        <v>382</v>
      </c>
      <c r="C89" s="0" t="s">
        <v>383</v>
      </c>
      <c r="D89" s="0" t="s">
        <v>384</v>
      </c>
      <c r="E89" s="0" t="n">
        <v>2782</v>
      </c>
      <c r="F89" s="0" t="n">
        <v>2694</v>
      </c>
      <c r="G89" s="0" t="n">
        <v>2782</v>
      </c>
      <c r="K89" s="0" t="n">
        <v>2924</v>
      </c>
      <c r="L89" s="3" t="n">
        <f aca="false">IF(AND(ISNUMBER(K89),ISNUMBER(G89)),K89/G89-1,"")</f>
        <v>0.0510424155283968</v>
      </c>
      <c r="M89" s="0" t="str">
        <f aca="false">IF(OR(NOT(ISNUMBER(K89)),NOT(ISNUMBER(F89))),"no zone",IF(K89&lt;F89,"BELOW zone",IF(K89&lt;=G89,"IN ZONE","ABOVE zone")))</f>
        <v>ABOVE zone</v>
      </c>
      <c r="N89" s="0" t="str">
        <f aca="false">IF(O89="","","Yes")</f>
        <v>Yes</v>
      </c>
      <c r="O89" s="4" t="s">
        <v>385</v>
      </c>
    </row>
    <row r="90" customFormat="false" ht="15" hidden="false" customHeight="false" outlineLevel="0" collapsed="false">
      <c r="A90" s="0" t="s">
        <v>343</v>
      </c>
      <c r="B90" s="0" t="s">
        <v>382</v>
      </c>
      <c r="C90" s="0" t="s">
        <v>386</v>
      </c>
      <c r="D90" s="0" t="s">
        <v>387</v>
      </c>
      <c r="E90" s="0" t="n">
        <v>81.91</v>
      </c>
      <c r="F90" s="0" t="n">
        <v>81.75</v>
      </c>
      <c r="G90" s="0" t="n">
        <v>81.91</v>
      </c>
      <c r="K90" s="0" t="n">
        <v>83.8</v>
      </c>
      <c r="L90" s="3" t="n">
        <f aca="false">IF(AND(ISNUMBER(K90),ISNUMBER(G90)),K90/G90-1,"")</f>
        <v>0.0230741057257966</v>
      </c>
      <c r="M90" s="0" t="str">
        <f aca="false">IF(OR(NOT(ISNUMBER(K90)),NOT(ISNUMBER(F90))),"no zone",IF(K90&lt;F90,"BELOW zone",IF(K90&lt;=G90,"IN ZONE","ABOVE zone")))</f>
        <v>ABOVE zone</v>
      </c>
      <c r="N90" s="0" t="str">
        <f aca="false">IF(O90="","","Yes")</f>
        <v>Yes</v>
      </c>
      <c r="O90" s="4" t="s">
        <v>388</v>
      </c>
    </row>
    <row r="91" customFormat="false" ht="15" hidden="false" customHeight="false" outlineLevel="0" collapsed="false">
      <c r="A91" s="0" t="s">
        <v>343</v>
      </c>
      <c r="B91" s="0" t="s">
        <v>389</v>
      </c>
      <c r="C91" s="0" t="s">
        <v>390</v>
      </c>
      <c r="D91" s="0" t="s">
        <v>391</v>
      </c>
      <c r="E91" s="0" t="n">
        <v>1707</v>
      </c>
      <c r="F91" s="0" t="n">
        <v>1655</v>
      </c>
      <c r="G91" s="0" t="n">
        <v>1707</v>
      </c>
      <c r="K91" s="0" t="n">
        <v>1801.8</v>
      </c>
      <c r="L91" s="3" t="n">
        <f aca="false">IF(AND(ISNUMBER(K91),ISNUMBER(G91)),K91/G91-1,"")</f>
        <v>0.0555360281195079</v>
      </c>
      <c r="M91" s="0" t="str">
        <f aca="false">IF(OR(NOT(ISNUMBER(K91)),NOT(ISNUMBER(F91))),"no zone",IF(K91&lt;F91,"BELOW zone",IF(K91&lt;=G91,"IN ZONE","ABOVE zone")))</f>
        <v>ABOVE zone</v>
      </c>
      <c r="N91" s="0" t="str">
        <f aca="false">IF(O91="","","Yes")</f>
        <v/>
      </c>
    </row>
    <row r="92" customFormat="false" ht="15" hidden="false" customHeight="false" outlineLevel="0" collapsed="false">
      <c r="A92" s="0" t="s">
        <v>343</v>
      </c>
      <c r="B92" s="0" t="s">
        <v>234</v>
      </c>
      <c r="C92" s="0" t="s">
        <v>392</v>
      </c>
      <c r="D92" s="0" t="s">
        <v>393</v>
      </c>
      <c r="E92" s="0" t="n">
        <v>1950</v>
      </c>
      <c r="F92" s="0" t="n">
        <v>1892</v>
      </c>
      <c r="G92" s="0" t="n">
        <v>1950</v>
      </c>
      <c r="K92" s="0" t="n">
        <v>2004</v>
      </c>
      <c r="L92" s="3" t="n">
        <f aca="false">IF(AND(ISNUMBER(K92),ISNUMBER(G92)),K92/G92-1,"")</f>
        <v>0.0276923076923077</v>
      </c>
      <c r="M92" s="0" t="str">
        <f aca="false">IF(OR(NOT(ISNUMBER(K92)),NOT(ISNUMBER(F92))),"no zone",IF(K92&lt;F92,"BELOW zone",IF(K92&lt;=G92,"IN ZONE","ABOVE zone")))</f>
        <v>ABOVE zone</v>
      </c>
      <c r="N92" s="0" t="str">
        <f aca="false">IF(O92="","","Yes")</f>
        <v/>
      </c>
    </row>
    <row r="93" customFormat="false" ht="15" hidden="false" customHeight="false" outlineLevel="0" collapsed="false">
      <c r="A93" s="0" t="s">
        <v>343</v>
      </c>
      <c r="B93" s="0" t="s">
        <v>234</v>
      </c>
      <c r="C93" s="0" t="s">
        <v>394</v>
      </c>
      <c r="D93" s="0" t="s">
        <v>395</v>
      </c>
      <c r="E93" s="0" t="n">
        <v>1106</v>
      </c>
      <c r="F93" s="0" t="n">
        <v>927.6</v>
      </c>
      <c r="G93" s="0" t="n">
        <v>1106</v>
      </c>
      <c r="K93" s="0" t="n">
        <v>1121</v>
      </c>
      <c r="L93" s="3" t="n">
        <f aca="false">IF(AND(ISNUMBER(K93),ISNUMBER(G93)),K93/G93-1,"")</f>
        <v>0.0135623869801085</v>
      </c>
      <c r="M93" s="0" t="str">
        <f aca="false">IF(OR(NOT(ISNUMBER(K93)),NOT(ISNUMBER(F93))),"no zone",IF(K93&lt;F93,"BELOW zone",IF(K93&lt;=G93,"IN ZONE","ABOVE zone")))</f>
        <v>ABOVE zone</v>
      </c>
      <c r="N93" s="0" t="str">
        <f aca="false">IF(O93="","","Yes")</f>
        <v/>
      </c>
    </row>
    <row r="94" customFormat="false" ht="15" hidden="false" customHeight="false" outlineLevel="0" collapsed="false">
      <c r="A94" s="0" t="s">
        <v>343</v>
      </c>
      <c r="B94" s="0" t="s">
        <v>234</v>
      </c>
      <c r="C94" s="0" t="s">
        <v>396</v>
      </c>
      <c r="D94" s="0" t="s">
        <v>397</v>
      </c>
      <c r="E94" s="0" t="n">
        <v>415.9</v>
      </c>
      <c r="F94" s="0" t="n">
        <v>401.15</v>
      </c>
      <c r="G94" s="0" t="n">
        <v>415.9</v>
      </c>
      <c r="K94" s="0" t="n">
        <v>372.35</v>
      </c>
      <c r="L94" s="3" t="n">
        <f aca="false">IF(AND(ISNUMBER(K94),ISNUMBER(G94)),K94/G94-1,"")</f>
        <v>-0.10471267131522</v>
      </c>
      <c r="M94" s="0" t="str">
        <f aca="false">IF(OR(NOT(ISNUMBER(K94)),NOT(ISNUMBER(F94))),"no zone",IF(K94&lt;F94,"BELOW zone",IF(K94&lt;=G94,"IN ZONE","ABOVE zone")))</f>
        <v>BELOW zone</v>
      </c>
      <c r="N94" s="0" t="str">
        <f aca="false">IF(O94="","","Yes")</f>
        <v>Yes</v>
      </c>
      <c r="O94" s="4" t="s">
        <v>398</v>
      </c>
    </row>
    <row r="95" customFormat="false" ht="15" hidden="false" customHeight="false" outlineLevel="0" collapsed="false">
      <c r="A95" s="0" t="s">
        <v>343</v>
      </c>
      <c r="B95" s="0" t="s">
        <v>399</v>
      </c>
      <c r="C95" s="0" t="s">
        <v>400</v>
      </c>
      <c r="D95" s="0" t="s">
        <v>401</v>
      </c>
      <c r="E95" s="0" t="n">
        <v>1213</v>
      </c>
      <c r="F95" s="0" t="n">
        <v>1173</v>
      </c>
      <c r="G95" s="0" t="n">
        <v>1213</v>
      </c>
      <c r="K95" s="0" t="n">
        <v>1280</v>
      </c>
      <c r="L95" s="3" t="n">
        <f aca="false">IF(AND(ISNUMBER(K95),ISNUMBER(G95)),K95/G95-1,"")</f>
        <v>0.055234954657873</v>
      </c>
      <c r="M95" s="0" t="str">
        <f aca="false">IF(OR(NOT(ISNUMBER(K95)),NOT(ISNUMBER(F95))),"no zone",IF(K95&lt;F95,"BELOW zone",IF(K95&lt;=G95,"IN ZONE","ABOVE zone")))</f>
        <v>ABOVE zone</v>
      </c>
      <c r="N95" s="0" t="str">
        <f aca="false">IF(O95="","","Yes")</f>
        <v>Yes</v>
      </c>
      <c r="O95" s="4" t="s">
        <v>402</v>
      </c>
    </row>
    <row r="96" customFormat="false" ht="15" hidden="false" customHeight="false" outlineLevel="0" collapsed="false">
      <c r="A96" s="0" t="s">
        <v>343</v>
      </c>
      <c r="B96" s="0" t="s">
        <v>242</v>
      </c>
      <c r="C96" s="0" t="s">
        <v>403</v>
      </c>
      <c r="D96" s="0" t="s">
        <v>404</v>
      </c>
      <c r="E96" s="0" t="n">
        <v>879.3</v>
      </c>
      <c r="F96" s="0" t="n">
        <v>827</v>
      </c>
      <c r="G96" s="0" t="n">
        <v>879.3</v>
      </c>
      <c r="K96" s="0" t="n">
        <v>859</v>
      </c>
      <c r="L96" s="3" t="n">
        <f aca="false">IF(AND(ISNUMBER(K96),ISNUMBER(G96)),K96/G96-1,"")</f>
        <v>-0.0230865461162287</v>
      </c>
      <c r="M96" s="0" t="str">
        <f aca="false">IF(OR(NOT(ISNUMBER(K96)),NOT(ISNUMBER(F96))),"no zone",IF(K96&lt;F96,"BELOW zone",IF(K96&lt;=G96,"IN ZONE","ABOVE zone")))</f>
        <v>IN ZONE</v>
      </c>
      <c r="N96" s="0" t="str">
        <f aca="false">IF(O96="","","Yes")</f>
        <v/>
      </c>
    </row>
    <row r="97" customFormat="false" ht="15" hidden="false" customHeight="false" outlineLevel="0" collapsed="false">
      <c r="A97" s="0" t="s">
        <v>343</v>
      </c>
      <c r="B97" s="0" t="s">
        <v>405</v>
      </c>
      <c r="C97" s="0" t="s">
        <v>406</v>
      </c>
      <c r="D97" s="0" t="s">
        <v>407</v>
      </c>
      <c r="E97" s="0" t="n">
        <v>788.5</v>
      </c>
      <c r="F97" s="0" t="n">
        <v>752.4</v>
      </c>
      <c r="G97" s="0" t="n">
        <v>788.5</v>
      </c>
      <c r="K97" s="0" t="n">
        <v>749.65</v>
      </c>
      <c r="L97" s="3" t="n">
        <f aca="false">IF(AND(ISNUMBER(K97),ISNUMBER(G97)),K97/G97-1,"")</f>
        <v>-0.049270767279645</v>
      </c>
      <c r="M97" s="0" t="str">
        <f aca="false">IF(OR(NOT(ISNUMBER(K97)),NOT(ISNUMBER(F97))),"no zone",IF(K97&lt;F97,"BELOW zone",IF(K97&lt;=G97,"IN ZONE","ABOVE zone")))</f>
        <v>BELOW zone</v>
      </c>
      <c r="N97" s="0" t="str">
        <f aca="false">IF(O97="","","Yes")</f>
        <v/>
      </c>
    </row>
    <row r="98" customFormat="false" ht="15" hidden="false" customHeight="false" outlineLevel="0" collapsed="false">
      <c r="A98" s="0" t="s">
        <v>343</v>
      </c>
      <c r="B98" s="0" t="s">
        <v>405</v>
      </c>
      <c r="C98" s="0" t="s">
        <v>408</v>
      </c>
      <c r="D98" s="0" t="s">
        <v>409</v>
      </c>
      <c r="E98" s="0" t="n">
        <v>259</v>
      </c>
      <c r="F98" s="0" t="n">
        <v>249.7</v>
      </c>
      <c r="G98" s="0" t="n">
        <v>259</v>
      </c>
      <c r="K98" s="0" t="n">
        <v>264</v>
      </c>
      <c r="L98" s="3" t="n">
        <f aca="false">IF(AND(ISNUMBER(K98),ISNUMBER(G98)),K98/G98-1,"")</f>
        <v>0.0193050193050193</v>
      </c>
      <c r="M98" s="0" t="str">
        <f aca="false">IF(OR(NOT(ISNUMBER(K98)),NOT(ISNUMBER(F98))),"no zone",IF(K98&lt;F98,"BELOW zone",IF(K98&lt;=G98,"IN ZONE","ABOVE zone")))</f>
        <v>ABOVE zone</v>
      </c>
      <c r="N98" s="0" t="str">
        <f aca="false">IF(O98="","","Yes")</f>
        <v>Yes</v>
      </c>
      <c r="O98" s="4" t="s">
        <v>410</v>
      </c>
    </row>
    <row r="99" customFormat="false" ht="15" hidden="false" customHeight="false" outlineLevel="0" collapsed="false">
      <c r="A99" s="0" t="s">
        <v>343</v>
      </c>
      <c r="B99" s="0" t="s">
        <v>405</v>
      </c>
      <c r="C99" s="0" t="s">
        <v>411</v>
      </c>
      <c r="D99" s="0" t="s">
        <v>412</v>
      </c>
      <c r="E99" s="0" t="n">
        <v>1645</v>
      </c>
      <c r="F99" s="0" t="n">
        <v>1639</v>
      </c>
      <c r="G99" s="0" t="n">
        <v>1645</v>
      </c>
      <c r="K99" s="0" t="n">
        <v>1624.8</v>
      </c>
      <c r="L99" s="3" t="n">
        <f aca="false">IF(AND(ISNUMBER(K99),ISNUMBER(G99)),K99/G99-1,"")</f>
        <v>-0.0122796352583587</v>
      </c>
      <c r="M99" s="0" t="str">
        <f aca="false">IF(OR(NOT(ISNUMBER(K99)),NOT(ISNUMBER(F99))),"no zone",IF(K99&lt;F99,"BELOW zone",IF(K99&lt;=G99,"IN ZONE","ABOVE zone")))</f>
        <v>BELOW zone</v>
      </c>
      <c r="N99" s="0" t="str">
        <f aca="false">IF(O99="","","Yes")</f>
        <v/>
      </c>
    </row>
    <row r="100" customFormat="false" ht="15" hidden="false" customHeight="false" outlineLevel="0" collapsed="false">
      <c r="A100" s="0" t="s">
        <v>343</v>
      </c>
      <c r="B100" s="0" t="s">
        <v>115</v>
      </c>
      <c r="C100" s="0" t="s">
        <v>413</v>
      </c>
      <c r="D100" s="0" t="s">
        <v>414</v>
      </c>
      <c r="E100" s="0" t="n">
        <v>404.1</v>
      </c>
      <c r="F100" s="0" t="n">
        <v>398</v>
      </c>
      <c r="G100" s="0" t="n">
        <v>404.1</v>
      </c>
      <c r="K100" s="0" t="n">
        <v>410</v>
      </c>
      <c r="L100" s="3" t="n">
        <f aca="false">IF(AND(ISNUMBER(K100),ISNUMBER(G100)),K100/G100-1,"")</f>
        <v>0.0146003464488986</v>
      </c>
      <c r="M100" s="0" t="str">
        <f aca="false">IF(OR(NOT(ISNUMBER(K100)),NOT(ISNUMBER(F100))),"no zone",IF(K100&lt;F100,"BELOW zone",IF(K100&lt;=G100,"IN ZONE","ABOVE zone")))</f>
        <v>ABOVE zone</v>
      </c>
      <c r="N100" s="0" t="str">
        <f aca="false">IF(O100="","","Yes")</f>
        <v/>
      </c>
    </row>
    <row r="101" customFormat="false" ht="15" hidden="false" customHeight="false" outlineLevel="0" collapsed="false">
      <c r="A101" s="0" t="s">
        <v>343</v>
      </c>
      <c r="B101" s="0" t="s">
        <v>415</v>
      </c>
      <c r="C101" s="0" t="s">
        <v>416</v>
      </c>
      <c r="D101" s="0" t="s">
        <v>417</v>
      </c>
      <c r="E101" s="0" t="n">
        <v>2076</v>
      </c>
      <c r="F101" s="0" t="n">
        <v>2013</v>
      </c>
      <c r="G101" s="0" t="n">
        <v>2076</v>
      </c>
      <c r="K101" s="0" t="n">
        <v>1995</v>
      </c>
      <c r="L101" s="3" t="n">
        <f aca="false">IF(AND(ISNUMBER(K101),ISNUMBER(G101)),K101/G101-1,"")</f>
        <v>-0.0390173410404624</v>
      </c>
      <c r="M101" s="0" t="str">
        <f aca="false">IF(OR(NOT(ISNUMBER(K101)),NOT(ISNUMBER(F101))),"no zone",IF(K101&lt;F101,"BELOW zone",IF(K101&lt;=G101,"IN ZONE","ABOVE zone")))</f>
        <v>BELOW zone</v>
      </c>
      <c r="N101" s="0" t="str">
        <f aca="false">IF(O101="","","Yes")</f>
        <v/>
      </c>
    </row>
    <row r="102" customFormat="false" ht="15" hidden="false" customHeight="false" outlineLevel="0" collapsed="false">
      <c r="A102" s="0" t="s">
        <v>343</v>
      </c>
      <c r="B102" s="0" t="s">
        <v>124</v>
      </c>
      <c r="C102" s="0" t="s">
        <v>418</v>
      </c>
      <c r="D102" s="0" t="s">
        <v>419</v>
      </c>
      <c r="E102" s="0" t="n">
        <v>744.3</v>
      </c>
      <c r="F102" s="0" t="n">
        <v>678.1</v>
      </c>
      <c r="G102" s="0" t="n">
        <v>744.3</v>
      </c>
      <c r="K102" s="0" t="n">
        <v>775</v>
      </c>
      <c r="L102" s="3" t="n">
        <f aca="false">IF(AND(ISNUMBER(K102),ISNUMBER(G102)),K102/G102-1,"")</f>
        <v>0.0412468090823592</v>
      </c>
      <c r="M102" s="0" t="str">
        <f aca="false">IF(OR(NOT(ISNUMBER(K102)),NOT(ISNUMBER(F102))),"no zone",IF(K102&lt;F102,"BELOW zone",IF(K102&lt;=G102,"IN ZONE","ABOVE zone")))</f>
        <v>ABOVE zone</v>
      </c>
      <c r="N102" s="0" t="str">
        <f aca="false">IF(O102="","","Yes")</f>
        <v>Yes</v>
      </c>
      <c r="O102" s="4" t="s">
        <v>420</v>
      </c>
    </row>
    <row r="103" customFormat="false" ht="15" hidden="false" customHeight="false" outlineLevel="0" collapsed="false">
      <c r="A103" s="0" t="s">
        <v>343</v>
      </c>
      <c r="B103" s="0" t="s">
        <v>421</v>
      </c>
      <c r="C103" s="0" t="s">
        <v>422</v>
      </c>
      <c r="D103" s="0" t="s">
        <v>423</v>
      </c>
      <c r="E103" s="0" t="n">
        <v>1008</v>
      </c>
      <c r="F103" s="0" t="n">
        <v>977.8</v>
      </c>
      <c r="G103" s="0" t="n">
        <v>1008</v>
      </c>
      <c r="K103" s="0" t="n">
        <v>1048</v>
      </c>
      <c r="L103" s="3" t="n">
        <f aca="false">IF(AND(ISNUMBER(K103),ISNUMBER(G103)),K103/G103-1,"")</f>
        <v>0.0396825396825398</v>
      </c>
      <c r="M103" s="0" t="str">
        <f aca="false">IF(OR(NOT(ISNUMBER(K103)),NOT(ISNUMBER(F103))),"no zone",IF(K103&lt;F103,"BELOW zone",IF(K103&lt;=G103,"IN ZONE","ABOVE zone")))</f>
        <v>ABOVE zone</v>
      </c>
      <c r="N103" s="0" t="str">
        <f aca="false">IF(O103="","","Yes")</f>
        <v>Yes</v>
      </c>
      <c r="O103" s="4" t="s">
        <v>424</v>
      </c>
    </row>
    <row r="104" customFormat="false" ht="15" hidden="false" customHeight="false" outlineLevel="0" collapsed="false">
      <c r="A104" s="0" t="s">
        <v>343</v>
      </c>
      <c r="B104" s="0" t="s">
        <v>259</v>
      </c>
      <c r="C104" s="0" t="s">
        <v>425</v>
      </c>
      <c r="D104" s="0" t="s">
        <v>426</v>
      </c>
      <c r="E104" s="0" t="n">
        <v>953.8</v>
      </c>
      <c r="F104" s="0" t="n">
        <v>953</v>
      </c>
      <c r="G104" s="0" t="n">
        <v>953.8</v>
      </c>
      <c r="K104" s="0" t="n">
        <v>1015</v>
      </c>
      <c r="L104" s="3" t="n">
        <f aca="false">IF(AND(ISNUMBER(K104),ISNUMBER(G104)),K104/G104-1,"")</f>
        <v>0.0641643950513735</v>
      </c>
      <c r="M104" s="0" t="str">
        <f aca="false">IF(OR(NOT(ISNUMBER(K104)),NOT(ISNUMBER(F104))),"no zone",IF(K104&lt;F104,"BELOW zone",IF(K104&lt;=G104,"IN ZONE","ABOVE zone")))</f>
        <v>ABOVE zone</v>
      </c>
      <c r="N104" s="0" t="str">
        <f aca="false">IF(O104="","","Yes")</f>
        <v>Yes</v>
      </c>
      <c r="O104" s="4" t="s">
        <v>427</v>
      </c>
    </row>
    <row r="105" customFormat="false" ht="15" hidden="false" customHeight="false" outlineLevel="0" collapsed="false">
      <c r="A105" s="0" t="s">
        <v>343</v>
      </c>
      <c r="B105" s="0" t="s">
        <v>428</v>
      </c>
      <c r="C105" s="0" t="s">
        <v>429</v>
      </c>
      <c r="D105" s="0" t="s">
        <v>430</v>
      </c>
      <c r="E105" s="0" t="n">
        <v>168.3</v>
      </c>
      <c r="F105" s="0" t="n">
        <v>156</v>
      </c>
      <c r="G105" s="0" t="n">
        <v>168.3</v>
      </c>
      <c r="K105" s="0" t="n">
        <v>171.55</v>
      </c>
      <c r="L105" s="3" t="n">
        <f aca="false">IF(AND(ISNUMBER(K105),ISNUMBER(G105)),K105/G105-1,"")</f>
        <v>0.0193107546048723</v>
      </c>
      <c r="M105" s="0" t="str">
        <f aca="false">IF(OR(NOT(ISNUMBER(K105)),NOT(ISNUMBER(F105))),"no zone",IF(K105&lt;F105,"BELOW zone",IF(K105&lt;=G105,"IN ZONE","ABOVE zone")))</f>
        <v>ABOVE zone</v>
      </c>
      <c r="N105" s="0" t="str">
        <f aca="false">IF(O105="","","Yes")</f>
        <v/>
      </c>
    </row>
    <row r="106" customFormat="false" ht="15" hidden="false" customHeight="false" outlineLevel="0" collapsed="false">
      <c r="A106" s="0" t="s">
        <v>343</v>
      </c>
      <c r="B106" s="0" t="s">
        <v>134</v>
      </c>
      <c r="C106" s="0" t="s">
        <v>431</v>
      </c>
      <c r="D106" s="0" t="s">
        <v>432</v>
      </c>
      <c r="E106" s="0" t="n">
        <v>4111</v>
      </c>
      <c r="F106" s="0" t="n">
        <v>3952</v>
      </c>
      <c r="G106" s="0" t="n">
        <v>4111</v>
      </c>
      <c r="K106" s="0" t="n">
        <v>4194.4</v>
      </c>
      <c r="L106" s="3" t="n">
        <f aca="false">IF(AND(ISNUMBER(K106),ISNUMBER(G106)),K106/G106-1,"")</f>
        <v>0.0202870347847237</v>
      </c>
      <c r="M106" s="0" t="str">
        <f aca="false">IF(OR(NOT(ISNUMBER(K106)),NOT(ISNUMBER(F106))),"no zone",IF(K106&lt;F106,"BELOW zone",IF(K106&lt;=G106,"IN ZONE","ABOVE zone")))</f>
        <v>ABOVE zone</v>
      </c>
      <c r="N106" s="0" t="str">
        <f aca="false">IF(O106="","","Yes")</f>
        <v/>
      </c>
    </row>
    <row r="107" customFormat="false" ht="15" hidden="false" customHeight="false" outlineLevel="0" collapsed="false">
      <c r="A107" s="0" t="s">
        <v>343</v>
      </c>
      <c r="B107" s="0" t="s">
        <v>267</v>
      </c>
      <c r="C107" s="0" t="s">
        <v>433</v>
      </c>
      <c r="D107" s="0" t="s">
        <v>434</v>
      </c>
      <c r="E107" s="0" t="n">
        <v>1961</v>
      </c>
      <c r="F107" s="0" t="n">
        <v>1551</v>
      </c>
      <c r="G107" s="0" t="n">
        <v>1961</v>
      </c>
      <c r="K107" s="0" t="n">
        <v>1918</v>
      </c>
      <c r="L107" s="3" t="n">
        <f aca="false">IF(AND(ISNUMBER(K107),ISNUMBER(G107)),K107/G107-1,"")</f>
        <v>-0.0219275879653238</v>
      </c>
      <c r="M107" s="0" t="str">
        <f aca="false">IF(OR(NOT(ISNUMBER(K107)),NOT(ISNUMBER(F107))),"no zone",IF(K107&lt;F107,"BELOW zone",IF(K107&lt;=G107,"IN ZONE","ABOVE zone")))</f>
        <v>IN ZONE</v>
      </c>
      <c r="N107" s="0" t="str">
        <f aca="false">IF(O107="","","Yes")</f>
        <v>Yes</v>
      </c>
      <c r="O107" s="4" t="s">
        <v>435</v>
      </c>
    </row>
    <row r="108" customFormat="false" ht="15" hidden="false" customHeight="false" outlineLevel="0" collapsed="false">
      <c r="A108" s="0" t="s">
        <v>343</v>
      </c>
      <c r="B108" s="0" t="s">
        <v>436</v>
      </c>
      <c r="C108" s="0" t="s">
        <v>437</v>
      </c>
      <c r="D108" s="0" t="s">
        <v>438</v>
      </c>
      <c r="E108" s="0" t="n">
        <v>403.3</v>
      </c>
      <c r="F108" s="0" t="n">
        <v>393.9</v>
      </c>
      <c r="G108" s="0" t="n">
        <v>403.3</v>
      </c>
      <c r="K108" s="0" t="n">
        <v>390.8</v>
      </c>
      <c r="L108" s="3" t="n">
        <f aca="false">IF(AND(ISNUMBER(K108),ISNUMBER(G108)),K108/G108-1,"")</f>
        <v>-0.0309942970493429</v>
      </c>
      <c r="M108" s="0" t="str">
        <f aca="false">IF(OR(NOT(ISNUMBER(K108)),NOT(ISNUMBER(F108))),"no zone",IF(K108&lt;F108,"BELOW zone",IF(K108&lt;=G108,"IN ZONE","ABOVE zone")))</f>
        <v>BELOW zone</v>
      </c>
      <c r="N108" s="0" t="str">
        <f aca="false">IF(O108="","","Yes")</f>
        <v>Yes</v>
      </c>
      <c r="O108" s="4" t="s">
        <v>279</v>
      </c>
    </row>
    <row r="109" customFormat="false" ht="15" hidden="false" customHeight="false" outlineLevel="0" collapsed="false">
      <c r="A109" s="0" t="s">
        <v>343</v>
      </c>
      <c r="B109" s="0" t="s">
        <v>439</v>
      </c>
      <c r="C109" s="0" t="s">
        <v>440</v>
      </c>
      <c r="D109" s="0" t="s">
        <v>441</v>
      </c>
      <c r="E109" s="0" t="n">
        <v>681.9</v>
      </c>
      <c r="F109" s="0" t="n">
        <v>661.4</v>
      </c>
      <c r="G109" s="0" t="n">
        <v>681.9</v>
      </c>
      <c r="K109" s="0" t="n">
        <v>707.25</v>
      </c>
      <c r="L109" s="3" t="n">
        <f aca="false">IF(AND(ISNUMBER(K109),ISNUMBER(G109)),K109/G109-1,"")</f>
        <v>0.0371755389353279</v>
      </c>
      <c r="M109" s="0" t="str">
        <f aca="false">IF(OR(NOT(ISNUMBER(K109)),NOT(ISNUMBER(F109))),"no zone",IF(K109&lt;F109,"BELOW zone",IF(K109&lt;=G109,"IN ZONE","ABOVE zone")))</f>
        <v>ABOVE zone</v>
      </c>
      <c r="N109" s="0" t="str">
        <f aca="false">IF(O109="","","Yes")</f>
        <v/>
      </c>
    </row>
    <row r="110" customFormat="false" ht="15" hidden="false" customHeight="false" outlineLevel="0" collapsed="false">
      <c r="A110" s="0" t="s">
        <v>343</v>
      </c>
      <c r="B110" s="0" t="s">
        <v>442</v>
      </c>
      <c r="C110" s="0" t="s">
        <v>443</v>
      </c>
      <c r="D110" s="0" t="s">
        <v>32</v>
      </c>
      <c r="E110" s="0" t="n">
        <v>692.7</v>
      </c>
      <c r="F110" s="0" t="n">
        <v>597</v>
      </c>
      <c r="G110" s="0" t="n">
        <v>692.7</v>
      </c>
      <c r="K110" s="0" t="n">
        <v>674</v>
      </c>
      <c r="L110" s="3" t="n">
        <f aca="false">IF(AND(ISNUMBER(K110),ISNUMBER(G110)),K110/G110-1,"")</f>
        <v>-0.0269958134834706</v>
      </c>
      <c r="M110" s="0" t="str">
        <f aca="false">IF(OR(NOT(ISNUMBER(K110)),NOT(ISNUMBER(F110))),"no zone",IF(K110&lt;F110,"BELOW zone",IF(K110&lt;=G110,"IN ZONE","ABOVE zone")))</f>
        <v>IN ZONE</v>
      </c>
      <c r="N110" s="0" t="str">
        <f aca="false">IF(O110="","","Yes")</f>
        <v>Yes</v>
      </c>
      <c r="O110" s="4" t="s">
        <v>34</v>
      </c>
    </row>
    <row r="111" customFormat="false" ht="15" hidden="false" customHeight="false" outlineLevel="0" collapsed="false">
      <c r="A111" s="0" t="s">
        <v>343</v>
      </c>
      <c r="B111" s="0" t="s">
        <v>442</v>
      </c>
      <c r="C111" s="0" t="s">
        <v>444</v>
      </c>
      <c r="D111" s="0" t="s">
        <v>445</v>
      </c>
      <c r="E111" s="0" t="n">
        <v>1171</v>
      </c>
      <c r="F111" s="0" t="n">
        <v>1136</v>
      </c>
      <c r="G111" s="0" t="n">
        <v>1171</v>
      </c>
      <c r="K111" s="0" t="n">
        <v>1185</v>
      </c>
      <c r="L111" s="3" t="n">
        <f aca="false">IF(AND(ISNUMBER(K111),ISNUMBER(G111)),K111/G111-1,"")</f>
        <v>0.0119555935098206</v>
      </c>
      <c r="M111" s="0" t="str">
        <f aca="false">IF(OR(NOT(ISNUMBER(K111)),NOT(ISNUMBER(F111))),"no zone",IF(K111&lt;F111,"BELOW zone",IF(K111&lt;=G111,"IN ZONE","ABOVE zone")))</f>
        <v>ABOVE zone</v>
      </c>
      <c r="N111" s="0" t="str">
        <f aca="false">IF(O111="","","Yes")</f>
        <v/>
      </c>
    </row>
    <row r="112" customFormat="false" ht="15" hidden="false" customHeight="false" outlineLevel="0" collapsed="false">
      <c r="A112" s="0" t="s">
        <v>343</v>
      </c>
      <c r="B112" s="0" t="s">
        <v>446</v>
      </c>
      <c r="C112" s="0" t="s">
        <v>447</v>
      </c>
      <c r="D112" s="0" t="s">
        <v>448</v>
      </c>
      <c r="E112" s="0" t="n">
        <v>2677</v>
      </c>
      <c r="F112" s="0" t="n">
        <v>2665</v>
      </c>
      <c r="G112" s="0" t="n">
        <v>2677</v>
      </c>
      <c r="H112" s="0" t="n">
        <v>2772</v>
      </c>
      <c r="I112" s="0" t="s">
        <v>449</v>
      </c>
      <c r="J112" s="0" t="s">
        <v>450</v>
      </c>
      <c r="K112" s="0" t="n">
        <v>2624.7</v>
      </c>
      <c r="L112" s="3" t="n">
        <f aca="false">IF(AND(ISNUMBER(K112),ISNUMBER(G112)),K112/G112-1,"")</f>
        <v>-0.0195367949196863</v>
      </c>
      <c r="M112" s="0" t="str">
        <f aca="false">IF(OR(NOT(ISNUMBER(K112)),NOT(ISNUMBER(F112))),"no zone",IF(K112&lt;F112,"BELOW zone",IF(K112&lt;=G112,"IN ZONE","ABOVE zone")))</f>
        <v>BELOW zone</v>
      </c>
      <c r="N112" s="0" t="str">
        <f aca="false">IF(O112="","","Yes")</f>
        <v/>
      </c>
    </row>
    <row r="113" customFormat="false" ht="15" hidden="false" customHeight="false" outlineLevel="0" collapsed="false">
      <c r="A113" s="0" t="s">
        <v>343</v>
      </c>
      <c r="B113" s="0" t="s">
        <v>451</v>
      </c>
      <c r="C113" s="0" t="s">
        <v>452</v>
      </c>
      <c r="D113" s="0" t="s">
        <v>453</v>
      </c>
      <c r="E113" s="0" t="n">
        <v>10900</v>
      </c>
      <c r="F113" s="0" t="n">
        <v>10600</v>
      </c>
      <c r="G113" s="0" t="n">
        <v>10900</v>
      </c>
      <c r="K113" s="0" t="n">
        <v>10200</v>
      </c>
      <c r="L113" s="3" t="n">
        <f aca="false">IF(AND(ISNUMBER(K113),ISNUMBER(G113)),K113/G113-1,"")</f>
        <v>-0.0642201834862385</v>
      </c>
      <c r="M113" s="0" t="str">
        <f aca="false">IF(OR(NOT(ISNUMBER(K113)),NOT(ISNUMBER(F113))),"no zone",IF(K113&lt;F113,"BELOW zone",IF(K113&lt;=G113,"IN ZONE","ABOVE zone")))</f>
        <v>BELOW zone</v>
      </c>
      <c r="N113" s="0" t="str">
        <f aca="false">IF(O113="","","Yes")</f>
        <v>Yes</v>
      </c>
      <c r="O113" s="4" t="s">
        <v>454</v>
      </c>
    </row>
    <row r="114" customFormat="false" ht="15" hidden="false" customHeight="false" outlineLevel="0" collapsed="false">
      <c r="A114" s="0" t="s">
        <v>343</v>
      </c>
      <c r="B114" s="0" t="s">
        <v>146</v>
      </c>
      <c r="C114" s="0" t="s">
        <v>455</v>
      </c>
      <c r="D114" s="0" t="s">
        <v>456</v>
      </c>
      <c r="E114" s="0" t="n">
        <v>423.4</v>
      </c>
      <c r="F114" s="0" t="n">
        <v>420.1</v>
      </c>
      <c r="G114" s="0" t="n">
        <v>423.4</v>
      </c>
      <c r="K114" s="0" t="n">
        <v>433.6</v>
      </c>
      <c r="L114" s="3" t="n">
        <f aca="false">IF(AND(ISNUMBER(K114),ISNUMBER(G114)),K114/G114-1,"")</f>
        <v>0.0240906943788382</v>
      </c>
      <c r="M114" s="0" t="str">
        <f aca="false">IF(OR(NOT(ISNUMBER(K114)),NOT(ISNUMBER(F114))),"no zone",IF(K114&lt;F114,"BELOW zone",IF(K114&lt;=G114,"IN ZONE","ABOVE zone")))</f>
        <v>ABOVE zone</v>
      </c>
      <c r="N114" s="0" t="str">
        <f aca="false">IF(O114="","","Yes")</f>
        <v/>
      </c>
    </row>
    <row r="115" customFormat="false" ht="15" hidden="false" customHeight="false" outlineLevel="0" collapsed="false">
      <c r="A115" s="0" t="s">
        <v>343</v>
      </c>
      <c r="B115" s="0" t="s">
        <v>146</v>
      </c>
      <c r="C115" s="0" t="s">
        <v>457</v>
      </c>
      <c r="D115" s="0" t="s">
        <v>458</v>
      </c>
      <c r="E115" s="0" t="n">
        <v>967.9</v>
      </c>
      <c r="F115" s="0" t="n">
        <v>963.8</v>
      </c>
      <c r="G115" s="0" t="n">
        <v>967.9</v>
      </c>
      <c r="K115" s="0" t="n">
        <v>1026</v>
      </c>
      <c r="L115" s="3" t="n">
        <f aca="false">IF(AND(ISNUMBER(K115),ISNUMBER(G115)),K115/G115-1,"")</f>
        <v>0.0600268622791611</v>
      </c>
      <c r="M115" s="0" t="str">
        <f aca="false">IF(OR(NOT(ISNUMBER(K115)),NOT(ISNUMBER(F115))),"no zone",IF(K115&lt;F115,"BELOW zone",IF(K115&lt;=G115,"IN ZONE","ABOVE zone")))</f>
        <v>ABOVE zone</v>
      </c>
      <c r="N115" s="0" t="str">
        <f aca="false">IF(O115="","","Yes")</f>
        <v>Yes</v>
      </c>
      <c r="O115" s="4" t="s">
        <v>459</v>
      </c>
    </row>
    <row r="116" customFormat="false" ht="15" hidden="false" customHeight="false" outlineLevel="0" collapsed="false">
      <c r="A116" s="0" t="s">
        <v>343</v>
      </c>
      <c r="B116" s="0" t="s">
        <v>149</v>
      </c>
      <c r="C116" s="0" t="s">
        <v>460</v>
      </c>
      <c r="D116" s="0" t="s">
        <v>461</v>
      </c>
      <c r="E116" s="0" t="n">
        <v>36.02</v>
      </c>
      <c r="F116" s="0" t="n">
        <v>34.94</v>
      </c>
      <c r="G116" s="0" t="n">
        <v>36.02</v>
      </c>
      <c r="K116" s="0" t="n">
        <v>35.1</v>
      </c>
      <c r="L116" s="3" t="n">
        <f aca="false">IF(AND(ISNUMBER(K116),ISNUMBER(G116)),K116/G116-1,"")</f>
        <v>-0.0255413659078291</v>
      </c>
      <c r="M116" s="0" t="str">
        <f aca="false">IF(OR(NOT(ISNUMBER(K116)),NOT(ISNUMBER(F116))),"no zone",IF(K116&lt;F116,"BELOW zone",IF(K116&lt;=G116,"IN ZONE","ABOVE zone")))</f>
        <v>IN ZONE</v>
      </c>
      <c r="N116" s="0" t="str">
        <f aca="false">IF(O116="","","Yes")</f>
        <v/>
      </c>
    </row>
    <row r="117" customFormat="false" ht="15" hidden="false" customHeight="false" outlineLevel="0" collapsed="false">
      <c r="A117" s="0" t="s">
        <v>343</v>
      </c>
      <c r="B117" s="0" t="s">
        <v>149</v>
      </c>
      <c r="C117" s="0" t="s">
        <v>462</v>
      </c>
      <c r="D117" s="0" t="s">
        <v>463</v>
      </c>
      <c r="E117" s="0" t="n">
        <v>2040</v>
      </c>
      <c r="F117" s="0" t="n">
        <v>1965</v>
      </c>
      <c r="G117" s="0" t="n">
        <v>2040</v>
      </c>
      <c r="K117" s="0" t="n">
        <v>2001</v>
      </c>
      <c r="L117" s="3" t="n">
        <f aca="false">IF(AND(ISNUMBER(K117),ISNUMBER(G117)),K117/G117-1,"")</f>
        <v>-0.0191176470588236</v>
      </c>
      <c r="M117" s="0" t="str">
        <f aca="false">IF(OR(NOT(ISNUMBER(K117)),NOT(ISNUMBER(F117))),"no zone",IF(K117&lt;F117,"BELOW zone",IF(K117&lt;=G117,"IN ZONE","ABOVE zone")))</f>
        <v>IN ZONE</v>
      </c>
      <c r="N117" s="0" t="str">
        <f aca="false">IF(O117="","","Yes")</f>
        <v>Yes</v>
      </c>
      <c r="O117" s="4" t="s">
        <v>464</v>
      </c>
    </row>
    <row r="118" customFormat="false" ht="15" hidden="false" customHeight="false" outlineLevel="0" collapsed="false">
      <c r="A118" s="0" t="s">
        <v>343</v>
      </c>
      <c r="B118" s="0" t="s">
        <v>164</v>
      </c>
      <c r="C118" s="0" t="s">
        <v>465</v>
      </c>
      <c r="D118" s="0" t="s">
        <v>466</v>
      </c>
      <c r="E118" s="0" t="n">
        <v>4261</v>
      </c>
      <c r="F118" s="0" t="n">
        <v>3940</v>
      </c>
      <c r="G118" s="0" t="n">
        <v>4261</v>
      </c>
      <c r="K118" s="0" t="n">
        <v>4093.8</v>
      </c>
      <c r="L118" s="3" t="n">
        <f aca="false">IF(AND(ISNUMBER(K118),ISNUMBER(G118)),K118/G118-1,"")</f>
        <v>-0.039239615113823</v>
      </c>
      <c r="M118" s="0" t="str">
        <f aca="false">IF(OR(NOT(ISNUMBER(K118)),NOT(ISNUMBER(F118))),"no zone",IF(K118&lt;F118,"BELOW zone",IF(K118&lt;=G118,"IN ZONE","ABOVE zone")))</f>
        <v>IN ZONE</v>
      </c>
      <c r="N118" s="0" t="str">
        <f aca="false">IF(O118="","","Yes")</f>
        <v>Yes</v>
      </c>
      <c r="O118" s="4" t="s">
        <v>467</v>
      </c>
    </row>
    <row r="119" customFormat="false" ht="15" hidden="false" customHeight="false" outlineLevel="0" collapsed="false">
      <c r="A119" s="0" t="s">
        <v>343</v>
      </c>
      <c r="B119" s="0" t="s">
        <v>168</v>
      </c>
      <c r="C119" s="0" t="s">
        <v>468</v>
      </c>
      <c r="D119" s="0" t="s">
        <v>469</v>
      </c>
      <c r="E119" s="0" t="n">
        <v>222.5</v>
      </c>
      <c r="F119" s="0" t="n">
        <v>215</v>
      </c>
      <c r="G119" s="0" t="n">
        <v>222.5</v>
      </c>
      <c r="K119" s="0" t="n">
        <v>235</v>
      </c>
      <c r="L119" s="3" t="n">
        <f aca="false">IF(AND(ISNUMBER(K119),ISNUMBER(G119)),K119/G119-1,"")</f>
        <v>0.0561797752808988</v>
      </c>
      <c r="M119" s="0" t="str">
        <f aca="false">IF(OR(NOT(ISNUMBER(K119)),NOT(ISNUMBER(F119))),"no zone",IF(K119&lt;F119,"BELOW zone",IF(K119&lt;=G119,"IN ZONE","ABOVE zone")))</f>
        <v>ABOVE zone</v>
      </c>
      <c r="N119" s="0" t="str">
        <f aca="false">IF(O119="","","Yes")</f>
        <v/>
      </c>
    </row>
    <row r="120" customFormat="false" ht="15" hidden="false" customHeight="false" outlineLevel="0" collapsed="false">
      <c r="A120" s="0" t="s">
        <v>343</v>
      </c>
      <c r="B120" s="0" t="s">
        <v>168</v>
      </c>
      <c r="C120" s="0" t="s">
        <v>470</v>
      </c>
      <c r="D120" s="0" t="s">
        <v>470</v>
      </c>
      <c r="E120" s="0" t="n">
        <v>1933</v>
      </c>
      <c r="F120" s="0" t="n">
        <v>1851</v>
      </c>
      <c r="G120" s="0" t="n">
        <v>1933</v>
      </c>
      <c r="H120" s="0" t="n">
        <v>2600</v>
      </c>
      <c r="I120" s="0" t="s">
        <v>471</v>
      </c>
      <c r="K120" s="0" t="n">
        <v>1894.7</v>
      </c>
      <c r="L120" s="3" t="n">
        <f aca="false">IF(AND(ISNUMBER(K120),ISNUMBER(G120)),K120/G120-1,"")</f>
        <v>-0.0198137609932747</v>
      </c>
      <c r="M120" s="0" t="str">
        <f aca="false">IF(OR(NOT(ISNUMBER(K120)),NOT(ISNUMBER(F120))),"no zone",IF(K120&lt;F120,"BELOW zone",IF(K120&lt;=G120,"IN ZONE","ABOVE zone")))</f>
        <v>IN ZONE</v>
      </c>
      <c r="N120" s="0" t="str">
        <f aca="false">IF(O120="","","Yes")</f>
        <v/>
      </c>
    </row>
    <row r="121" customFormat="false" ht="15" hidden="false" customHeight="false" outlineLevel="0" collapsed="false">
      <c r="A121" s="0" t="s">
        <v>343</v>
      </c>
      <c r="B121" s="0" t="s">
        <v>168</v>
      </c>
      <c r="C121" s="0" t="s">
        <v>472</v>
      </c>
      <c r="D121" s="0" t="s">
        <v>473</v>
      </c>
      <c r="E121" s="0" t="n">
        <v>437.4</v>
      </c>
      <c r="F121" s="0" t="n">
        <v>424.3</v>
      </c>
      <c r="G121" s="0" t="n">
        <v>437.4</v>
      </c>
      <c r="K121" s="0" t="n">
        <v>433</v>
      </c>
      <c r="L121" s="3" t="n">
        <f aca="false">IF(AND(ISNUMBER(K121),ISNUMBER(G121)),K121/G121-1,"")</f>
        <v>-0.0100594421582075</v>
      </c>
      <c r="M121" s="0" t="str">
        <f aca="false">IF(OR(NOT(ISNUMBER(K121)),NOT(ISNUMBER(F121))),"no zone",IF(K121&lt;F121,"BELOW zone",IF(K121&lt;=G121,"IN ZONE","ABOVE zone")))</f>
        <v>IN ZONE</v>
      </c>
      <c r="N121" s="0" t="str">
        <f aca="false">IF(O121="","","Yes")</f>
        <v>Yes</v>
      </c>
      <c r="O121" s="4" t="s">
        <v>474</v>
      </c>
    </row>
    <row r="122" customFormat="false" ht="15" hidden="false" customHeight="false" outlineLevel="0" collapsed="false">
      <c r="A122" s="0" t="s">
        <v>343</v>
      </c>
      <c r="B122" s="0" t="s">
        <v>168</v>
      </c>
      <c r="C122" s="0" t="s">
        <v>475</v>
      </c>
      <c r="D122" s="0" t="s">
        <v>476</v>
      </c>
      <c r="E122" s="0" t="n">
        <v>857.3</v>
      </c>
      <c r="F122" s="0" t="n">
        <v>783.4</v>
      </c>
      <c r="G122" s="0" t="n">
        <v>857.3</v>
      </c>
      <c r="K122" s="0" t="n">
        <v>1009</v>
      </c>
      <c r="L122" s="3" t="n">
        <f aca="false">IF(AND(ISNUMBER(K122),ISNUMBER(G122)),K122/G122-1,"")</f>
        <v>0.176950892336405</v>
      </c>
      <c r="M122" s="0" t="str">
        <f aca="false">IF(OR(NOT(ISNUMBER(K122)),NOT(ISNUMBER(F122))),"no zone",IF(K122&lt;F122,"BELOW zone",IF(K122&lt;=G122,"IN ZONE","ABOVE zone")))</f>
        <v>ABOVE zone</v>
      </c>
      <c r="N122" s="0" t="str">
        <f aca="false">IF(O122="","","Yes")</f>
        <v>Yes</v>
      </c>
      <c r="O122" s="4" t="s">
        <v>477</v>
      </c>
    </row>
    <row r="123" customFormat="false" ht="15" hidden="false" customHeight="false" outlineLevel="0" collapsed="false">
      <c r="A123" s="0" t="s">
        <v>343</v>
      </c>
      <c r="B123" s="0" t="s">
        <v>168</v>
      </c>
      <c r="C123" s="0" t="s">
        <v>478</v>
      </c>
      <c r="D123" s="0" t="s">
        <v>479</v>
      </c>
      <c r="E123" s="0" t="n">
        <v>1905</v>
      </c>
      <c r="F123" s="0" t="n">
        <v>1732</v>
      </c>
      <c r="G123" s="0" t="n">
        <v>1905</v>
      </c>
      <c r="K123" s="0" t="n">
        <v>1935</v>
      </c>
      <c r="L123" s="3" t="n">
        <f aca="false">IF(AND(ISNUMBER(K123),ISNUMBER(G123)),K123/G123-1,"")</f>
        <v>0.015748031496063</v>
      </c>
      <c r="M123" s="0" t="str">
        <f aca="false">IF(OR(NOT(ISNUMBER(K123)),NOT(ISNUMBER(F123))),"no zone",IF(K123&lt;F123,"BELOW zone",IF(K123&lt;=G123,"IN ZONE","ABOVE zone")))</f>
        <v>ABOVE zone</v>
      </c>
      <c r="N123" s="0" t="str">
        <f aca="false">IF(O123="","","Yes")</f>
        <v>Yes</v>
      </c>
      <c r="O123" s="4" t="s">
        <v>480</v>
      </c>
    </row>
    <row r="124" customFormat="false" ht="15" hidden="false" customHeight="false" outlineLevel="0" collapsed="false">
      <c r="A124" s="0" t="s">
        <v>343</v>
      </c>
      <c r="B124" s="0" t="s">
        <v>174</v>
      </c>
      <c r="C124" s="0" t="s">
        <v>481</v>
      </c>
      <c r="D124" s="0" t="s">
        <v>482</v>
      </c>
      <c r="E124" s="0" t="n">
        <v>996.7</v>
      </c>
      <c r="F124" s="0" t="n">
        <v>874.9</v>
      </c>
      <c r="G124" s="0" t="n">
        <v>996.7</v>
      </c>
      <c r="K124" s="0" t="n">
        <v>1025.7</v>
      </c>
      <c r="L124" s="3" t="n">
        <f aca="false">IF(AND(ISNUMBER(K124),ISNUMBER(G124)),K124/G124-1,"")</f>
        <v>0.0290960168556236</v>
      </c>
      <c r="M124" s="0" t="str">
        <f aca="false">IF(OR(NOT(ISNUMBER(K124)),NOT(ISNUMBER(F124))),"no zone",IF(K124&lt;F124,"BELOW zone",IF(K124&lt;=G124,"IN ZONE","ABOVE zone")))</f>
        <v>ABOVE zone</v>
      </c>
      <c r="N124" s="0" t="str">
        <f aca="false">IF(O124="","","Yes")</f>
        <v>Yes</v>
      </c>
      <c r="O124" s="4" t="s">
        <v>123</v>
      </c>
    </row>
    <row r="125" customFormat="false" ht="15" hidden="false" customHeight="false" outlineLevel="0" collapsed="false">
      <c r="A125" s="0" t="s">
        <v>483</v>
      </c>
      <c r="B125" s="0" t="s">
        <v>484</v>
      </c>
      <c r="C125" s="0" t="s">
        <v>485</v>
      </c>
      <c r="D125" s="0" t="s">
        <v>486</v>
      </c>
      <c r="E125" s="0" t="n">
        <v>1258</v>
      </c>
      <c r="F125" s="0" t="n">
        <v>1245</v>
      </c>
      <c r="G125" s="0" t="n">
        <v>1258</v>
      </c>
      <c r="H125" s="0" t="n">
        <v>1348</v>
      </c>
      <c r="I125" s="0" t="s">
        <v>487</v>
      </c>
      <c r="J125" s="0" t="s">
        <v>488</v>
      </c>
      <c r="K125" s="0" t="n">
        <v>1259.1</v>
      </c>
      <c r="L125" s="3" t="n">
        <f aca="false">IF(AND(ISNUMBER(K125),ISNUMBER(G125)),K125/G125-1,"")</f>
        <v>0.000874403815580127</v>
      </c>
      <c r="M125" s="0" t="str">
        <f aca="false">IF(OR(NOT(ISNUMBER(K125)),NOT(ISNUMBER(F125))),"no zone",IF(K125&lt;F125,"BELOW zone",IF(K125&lt;=G125,"IN ZONE","ABOVE zone")))</f>
        <v>ABOVE zone</v>
      </c>
      <c r="N125" s="0" t="str">
        <f aca="false">IF(O125="","","Yes")</f>
        <v/>
      </c>
    </row>
    <row r="126" customFormat="false" ht="15" hidden="false" customHeight="false" outlineLevel="0" collapsed="false">
      <c r="A126" s="0" t="s">
        <v>483</v>
      </c>
      <c r="B126" s="0" t="s">
        <v>484</v>
      </c>
      <c r="C126" s="0" t="s">
        <v>489</v>
      </c>
      <c r="D126" s="0" t="s">
        <v>490</v>
      </c>
      <c r="H126" s="0" t="n">
        <v>1830</v>
      </c>
      <c r="I126" s="0" t="s">
        <v>491</v>
      </c>
      <c r="J126" s="0" t="s">
        <v>492</v>
      </c>
      <c r="K126" s="0" t="n">
        <v>1805.1</v>
      </c>
      <c r="L126" s="3" t="str">
        <f aca="false">IF(AND(ISNUMBER(K126),ISNUMBER(G126)),K126/G126-1,"")</f>
        <v/>
      </c>
      <c r="M126" s="0" t="str">
        <f aca="false">IF(OR(NOT(ISNUMBER(K126)),NOT(ISNUMBER(F126))),"no zone",IF(K126&lt;F126,"BELOW zone",IF(K126&lt;=G126,"IN ZONE","ABOVE zone")))</f>
        <v>no zone</v>
      </c>
      <c r="N126" s="0" t="str">
        <f aca="false">IF(O126="","","Yes")</f>
        <v/>
      </c>
    </row>
    <row r="127" customFormat="false" ht="15" hidden="false" customHeight="false" outlineLevel="0" collapsed="false">
      <c r="A127" s="0" t="s">
        <v>483</v>
      </c>
      <c r="B127" s="0" t="s">
        <v>484</v>
      </c>
      <c r="C127" s="0" t="s">
        <v>493</v>
      </c>
      <c r="D127" s="0" t="s">
        <v>494</v>
      </c>
      <c r="H127" s="0" t="n">
        <v>420</v>
      </c>
      <c r="I127" s="0" t="s">
        <v>495</v>
      </c>
      <c r="J127" s="0" t="s">
        <v>496</v>
      </c>
      <c r="K127" s="0" t="n">
        <v>411.55</v>
      </c>
      <c r="L127" s="3" t="str">
        <f aca="false">IF(AND(ISNUMBER(K127),ISNUMBER(G127)),K127/G127-1,"")</f>
        <v/>
      </c>
      <c r="M127" s="0" t="str">
        <f aca="false">IF(OR(NOT(ISNUMBER(K127)),NOT(ISNUMBER(F127))),"no zone",IF(K127&lt;F127,"BELOW zone",IF(K127&lt;=G127,"IN ZONE","ABOVE zone")))</f>
        <v>no zone</v>
      </c>
      <c r="N127" s="0" t="str">
        <f aca="false">IF(O127="","","Yes")</f>
        <v/>
      </c>
    </row>
    <row r="128" customFormat="false" ht="15" hidden="false" customHeight="false" outlineLevel="0" collapsed="false">
      <c r="A128" s="0" t="s">
        <v>483</v>
      </c>
      <c r="B128" s="0" t="s">
        <v>484</v>
      </c>
      <c r="C128" s="0" t="s">
        <v>497</v>
      </c>
      <c r="D128" s="0" t="s">
        <v>498</v>
      </c>
      <c r="E128" s="0" t="n">
        <v>3110</v>
      </c>
      <c r="F128" s="0" t="n">
        <v>3080</v>
      </c>
      <c r="G128" s="0" t="n">
        <v>3110</v>
      </c>
      <c r="H128" s="0" t="n">
        <v>3325</v>
      </c>
      <c r="I128" s="0" t="s">
        <v>499</v>
      </c>
      <c r="J128" s="0" t="s">
        <v>500</v>
      </c>
      <c r="K128" s="0" t="n">
        <v>3058</v>
      </c>
      <c r="L128" s="3" t="n">
        <f aca="false">IF(AND(ISNUMBER(K128),ISNUMBER(G128)),K128/G128-1,"")</f>
        <v>-0.0167202572347267</v>
      </c>
      <c r="M128" s="0" t="str">
        <f aca="false">IF(OR(NOT(ISNUMBER(K128)),NOT(ISNUMBER(F128))),"no zone",IF(K128&lt;F128,"BELOW zone",IF(K128&lt;=G128,"IN ZONE","ABOVE zone")))</f>
        <v>BELOW zone</v>
      </c>
      <c r="N128" s="0" t="str">
        <f aca="false">IF(O128="","","Yes")</f>
        <v/>
      </c>
    </row>
    <row r="129" customFormat="false" ht="15" hidden="false" customHeight="false" outlineLevel="0" collapsed="false">
      <c r="A129" s="0" t="s">
        <v>483</v>
      </c>
      <c r="B129" s="0" t="s">
        <v>484</v>
      </c>
      <c r="C129" s="0" t="s">
        <v>501</v>
      </c>
      <c r="D129" s="0" t="s">
        <v>502</v>
      </c>
      <c r="E129" s="0" t="n">
        <v>1352</v>
      </c>
      <c r="F129" s="0" t="n">
        <v>1340</v>
      </c>
      <c r="G129" s="0" t="n">
        <v>1352</v>
      </c>
      <c r="H129" s="0" t="n">
        <v>1392</v>
      </c>
      <c r="I129" s="0" t="s">
        <v>503</v>
      </c>
      <c r="J129" s="0" t="s">
        <v>504</v>
      </c>
      <c r="K129" s="0" t="n">
        <v>1355</v>
      </c>
      <c r="L129" s="3" t="n">
        <f aca="false">IF(AND(ISNUMBER(K129),ISNUMBER(G129)),K129/G129-1,"")</f>
        <v>0.0022189349112427</v>
      </c>
      <c r="M129" s="0" t="str">
        <f aca="false">IF(OR(NOT(ISNUMBER(K129)),NOT(ISNUMBER(F129))),"no zone",IF(K129&lt;F129,"BELOW zone",IF(K129&lt;=G129,"IN ZONE","ABOVE zone")))</f>
        <v>ABOVE zone</v>
      </c>
      <c r="N129" s="0" t="str">
        <f aca="false">IF(O129="","","Yes")</f>
        <v/>
      </c>
    </row>
    <row r="130" customFormat="false" ht="15" hidden="false" customHeight="false" outlineLevel="0" collapsed="false">
      <c r="A130" s="0" t="s">
        <v>483</v>
      </c>
      <c r="B130" s="0" t="s">
        <v>484</v>
      </c>
      <c r="C130" s="0" t="s">
        <v>505</v>
      </c>
      <c r="D130" s="0" t="s">
        <v>506</v>
      </c>
      <c r="H130" s="0" t="n">
        <v>393</v>
      </c>
      <c r="I130" s="0" t="s">
        <v>507</v>
      </c>
      <c r="J130" s="0" t="s">
        <v>292</v>
      </c>
      <c r="K130" s="0" t="n">
        <v>380.85</v>
      </c>
      <c r="L130" s="3" t="str">
        <f aca="false">IF(AND(ISNUMBER(K130),ISNUMBER(G130)),K130/G130-1,"")</f>
        <v/>
      </c>
      <c r="M130" s="0" t="str">
        <f aca="false">IF(OR(NOT(ISNUMBER(K130)),NOT(ISNUMBER(F130))),"no zone",IF(K130&lt;F130,"BELOW zone",IF(K130&lt;=G130,"IN ZONE","ABOVE zone")))</f>
        <v>no zone</v>
      </c>
      <c r="N130" s="0" t="str">
        <f aca="false">IF(O130="","","Yes")</f>
        <v/>
      </c>
    </row>
    <row r="131" customFormat="false" ht="15" hidden="false" customHeight="false" outlineLevel="0" collapsed="false">
      <c r="A131" s="0" t="s">
        <v>483</v>
      </c>
      <c r="B131" s="0" t="s">
        <v>484</v>
      </c>
      <c r="C131" s="0" t="s">
        <v>508</v>
      </c>
      <c r="D131" s="0" t="s">
        <v>509</v>
      </c>
      <c r="E131" s="0" t="n">
        <v>1745</v>
      </c>
      <c r="F131" s="0" t="n">
        <v>1720</v>
      </c>
      <c r="G131" s="0" t="n">
        <v>1745</v>
      </c>
      <c r="H131" s="0" t="n">
        <v>1855</v>
      </c>
      <c r="I131" s="0" t="s">
        <v>510</v>
      </c>
      <c r="J131" s="0" t="s">
        <v>511</v>
      </c>
      <c r="K131" s="0" t="n">
        <v>1636</v>
      </c>
      <c r="L131" s="3" t="n">
        <f aca="false">IF(AND(ISNUMBER(K131),ISNUMBER(G131)),K131/G131-1,"")</f>
        <v>-0.0624641833810888</v>
      </c>
      <c r="M131" s="0" t="str">
        <f aca="false">IF(OR(NOT(ISNUMBER(K131)),NOT(ISNUMBER(F131))),"no zone",IF(K131&lt;F131,"BELOW zone",IF(K131&lt;=G131,"IN ZONE","ABOVE zone")))</f>
        <v>BELOW zone</v>
      </c>
      <c r="N131" s="0" t="str">
        <f aca="false">IF(O131="","","Yes")</f>
        <v/>
      </c>
    </row>
  </sheetData>
  <autoFilter ref="A3:O131"/>
  <conditionalFormatting sqref="M4:M131">
    <cfRule type="expression" priority="2" aboveAverage="0" equalAverage="0" bottom="0" percent="0" rank="0" text="" dxfId="8">
      <formula>M4="IN ZONE"</formula>
    </cfRule>
    <cfRule type="expression" priority="3" aboveAverage="0" equalAverage="0" bottom="0" percent="0" rank="0" text="" dxfId="9">
      <formula>M4="BELOW zone"</formula>
    </cfRule>
    <cfRule type="expression" priority="4" aboveAverage="0" equalAverage="0" bottom="0" percent="0" rank="0" text="" dxfId="10">
      <formula>M4="ABOVE zone"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9" t="s">
        <v>512</v>
      </c>
    </row>
    <row r="2" customFormat="false" ht="48" hidden="false" customHeight="true" outlineLevel="0" collapsed="false">
      <c r="A2" s="8" t="s">
        <v>513</v>
      </c>
      <c r="B2" s="8"/>
      <c r="C2" s="8"/>
      <c r="D2" s="8"/>
      <c r="E2" s="8"/>
    </row>
    <row r="4" customFormat="false" ht="15" hidden="false" customHeight="false" outlineLevel="0" collapsed="false">
      <c r="A4" s="2" t="s">
        <v>514</v>
      </c>
      <c r="B4" s="2" t="s">
        <v>515</v>
      </c>
    </row>
    <row r="5" customFormat="false" ht="15" hidden="false" customHeight="false" outlineLevel="0" collapsed="false">
      <c r="A5" s="0" t="s">
        <v>516</v>
      </c>
      <c r="B5" s="0" t="n">
        <v>5.74</v>
      </c>
    </row>
    <row r="6" customFormat="false" ht="15" hidden="false" customHeight="false" outlineLevel="0" collapsed="false">
      <c r="A6" s="0" t="s">
        <v>517</v>
      </c>
      <c r="B6" s="0" t="n">
        <v>4.51</v>
      </c>
    </row>
    <row r="7" customFormat="false" ht="15" hidden="false" customHeight="false" outlineLevel="0" collapsed="false">
      <c r="A7" s="0" t="s">
        <v>518</v>
      </c>
      <c r="B7" s="0" t="n">
        <v>4.33</v>
      </c>
    </row>
    <row r="8" customFormat="false" ht="15" hidden="false" customHeight="false" outlineLevel="0" collapsed="false">
      <c r="A8" s="0" t="s">
        <v>519</v>
      </c>
      <c r="B8" s="0" t="n">
        <v>2.82</v>
      </c>
    </row>
    <row r="9" customFormat="false" ht="15" hidden="false" customHeight="false" outlineLevel="0" collapsed="false">
      <c r="A9" s="0" t="s">
        <v>520</v>
      </c>
      <c r="B9" s="0" t="n">
        <v>2.5</v>
      </c>
    </row>
    <row r="10" customFormat="false" ht="15" hidden="false" customHeight="false" outlineLevel="0" collapsed="false">
      <c r="A10" s="1" t="s">
        <v>521</v>
      </c>
      <c r="B10" s="4" t="n">
        <f aca="false">SUM(B5:B9)</f>
        <v>19.9</v>
      </c>
      <c r="C10" s="4" t="s">
        <v>522</v>
      </c>
    </row>
    <row r="12" customFormat="false" ht="15" hidden="false" customHeight="false" outlineLevel="0" collapsed="false">
      <c r="A12" s="2" t="s">
        <v>523</v>
      </c>
      <c r="B12" s="2" t="s">
        <v>524</v>
      </c>
      <c r="C12" s="2" t="s">
        <v>525</v>
      </c>
    </row>
    <row r="13" customFormat="false" ht="15" hidden="false" customHeight="false" outlineLevel="0" collapsed="false">
      <c r="A13" s="0" t="s">
        <v>526</v>
      </c>
      <c r="B13" s="0" t="n">
        <v>83.7</v>
      </c>
      <c r="C13" s="0" t="s">
        <v>527</v>
      </c>
    </row>
    <row r="14" customFormat="false" ht="15" hidden="false" customHeight="false" outlineLevel="0" collapsed="false">
      <c r="A14" s="0" t="s">
        <v>528</v>
      </c>
      <c r="B14" s="0" t="n">
        <v>78.4</v>
      </c>
    </row>
    <row r="15" customFormat="false" ht="15" hidden="false" customHeight="false" outlineLevel="0" collapsed="false">
      <c r="A15" s="0" t="s">
        <v>463</v>
      </c>
      <c r="B15" s="0" t="n">
        <v>64.9</v>
      </c>
    </row>
    <row r="16" customFormat="false" ht="15" hidden="false" customHeight="false" outlineLevel="0" collapsed="false">
      <c r="A16" s="0" t="s">
        <v>529</v>
      </c>
      <c r="B16" s="0" t="n">
        <v>55.5</v>
      </c>
    </row>
    <row r="17" customFormat="false" ht="15" hidden="false" customHeight="false" outlineLevel="0" collapsed="false">
      <c r="A17" s="0" t="s">
        <v>530</v>
      </c>
      <c r="B17" s="0" t="n">
        <v>48.6</v>
      </c>
    </row>
    <row r="19" customFormat="false" ht="15" hidden="false" customHeight="false" outlineLevel="0" collapsed="false">
      <c r="A19" s="2" t="s">
        <v>531</v>
      </c>
      <c r="B19" s="2" t="s">
        <v>532</v>
      </c>
      <c r="C19" s="2" t="s">
        <v>533</v>
      </c>
    </row>
    <row r="20" customFormat="false" ht="15" hidden="false" customHeight="false" outlineLevel="0" collapsed="false">
      <c r="A20" s="10" t="s">
        <v>534</v>
      </c>
      <c r="B20" s="0" t="n">
        <v>-55.5</v>
      </c>
      <c r="C20" s="4" t="s">
        <v>535</v>
      </c>
    </row>
    <row r="21" customFormat="false" ht="15" hidden="false" customHeight="false" outlineLevel="0" collapsed="false">
      <c r="A21" s="10" t="s">
        <v>536</v>
      </c>
      <c r="B21" s="0" t="n">
        <v>14.7</v>
      </c>
    </row>
    <row r="22" customFormat="false" ht="28.35" hidden="false" customHeight="false" outlineLevel="0" collapsed="false">
      <c r="A22" s="10" t="s">
        <v>537</v>
      </c>
      <c r="B22" s="0" t="n">
        <v>-52.2</v>
      </c>
      <c r="C22" s="4" t="s">
        <v>538</v>
      </c>
    </row>
    <row r="23" customFormat="false" ht="28.35" hidden="false" customHeight="false" outlineLevel="0" collapsed="false">
      <c r="A23" s="10" t="s">
        <v>539</v>
      </c>
      <c r="B23" s="0" t="n">
        <v>1.1</v>
      </c>
      <c r="C23" s="4" t="s">
        <v>540</v>
      </c>
    </row>
    <row r="24" customFormat="false" ht="15" hidden="false" customHeight="false" outlineLevel="0" collapsed="false">
      <c r="A24" s="10" t="s">
        <v>541</v>
      </c>
      <c r="B24" s="0" t="n">
        <v>0.16012</v>
      </c>
      <c r="C24" s="4" t="s">
        <v>542</v>
      </c>
    </row>
    <row r="26" customFormat="false" ht="15" hidden="false" customHeight="false" outlineLevel="0" collapsed="false">
      <c r="A26" s="11" t="s">
        <v>543</v>
      </c>
      <c r="B26" s="4" t="s">
        <v>544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7" min="6" style="0" width="14"/>
    <col collapsed="false" customWidth="true" hidden="false" outlineLevel="0" max="9" min="9" style="0" width="18"/>
    <col collapsed="false" customWidth="true" hidden="false" outlineLevel="0" max="10" min="10" style="0" width="15"/>
  </cols>
  <sheetData>
    <row r="1" customFormat="false" ht="28.35" hidden="false" customHeight="false" outlineLevel="0" collapsed="false">
      <c r="A1" s="2" t="s">
        <v>64</v>
      </c>
      <c r="B1" s="2" t="s">
        <v>65</v>
      </c>
      <c r="C1" s="2" t="s">
        <v>514</v>
      </c>
      <c r="D1" s="2" t="s">
        <v>545</v>
      </c>
      <c r="E1" s="2" t="s">
        <v>72</v>
      </c>
      <c r="F1" s="2" t="s">
        <v>546</v>
      </c>
      <c r="G1" s="2" t="s">
        <v>524</v>
      </c>
      <c r="I1" s="12" t="s">
        <v>514</v>
      </c>
      <c r="J1" s="12" t="s">
        <v>524</v>
      </c>
    </row>
    <row r="2" customFormat="false" ht="15" hidden="false" customHeight="false" outlineLevel="0" collapsed="false">
      <c r="A2" s="0" t="s">
        <v>112</v>
      </c>
      <c r="B2" s="0" t="s">
        <v>113</v>
      </c>
      <c r="C2" s="0" t="s">
        <v>518</v>
      </c>
      <c r="D2" s="0" t="n">
        <v>9000</v>
      </c>
      <c r="E2" s="0" t="n">
        <v>163.05</v>
      </c>
      <c r="F2" s="13" t="n">
        <f aca="false">IF(ISNUMBER(E2),D2*E2,"")</f>
        <v>1467450</v>
      </c>
      <c r="G2" s="14" t="n">
        <f aca="false">IF(ISNUMBER(F2),F2/100000,"")</f>
        <v>14.6745</v>
      </c>
      <c r="I2" s="4" t="s">
        <v>517</v>
      </c>
      <c r="J2" s="14" t="n">
        <f aca="false">SUMIF(C2:C101,I2,G2:G101)</f>
        <v>113.8578</v>
      </c>
    </row>
    <row r="3" customFormat="false" ht="15" hidden="false" customHeight="false" outlineLevel="0" collapsed="false">
      <c r="A3" s="0" t="s">
        <v>116</v>
      </c>
      <c r="B3" s="0" t="s">
        <v>117</v>
      </c>
      <c r="C3" s="0" t="s">
        <v>518</v>
      </c>
      <c r="D3" s="0" t="n">
        <v>1000</v>
      </c>
      <c r="E3" s="0" t="n">
        <v>660</v>
      </c>
      <c r="F3" s="13" t="n">
        <f aca="false">IF(ISNUMBER(E3),D3*E3,"")</f>
        <v>660000</v>
      </c>
      <c r="G3" s="14" t="n">
        <f aca="false">IF(ISNUMBER(F3),F3/100000,"")</f>
        <v>6.6</v>
      </c>
      <c r="I3" s="4" t="s">
        <v>516</v>
      </c>
      <c r="J3" s="14" t="n">
        <f aca="false">SUMIF(C2:C101,I3,G2:G101)</f>
        <v>173.774305</v>
      </c>
    </row>
    <row r="4" customFormat="false" ht="15" hidden="false" customHeight="false" outlineLevel="0" collapsed="false">
      <c r="A4" s="0" t="s">
        <v>116</v>
      </c>
      <c r="B4" s="0" t="s">
        <v>117</v>
      </c>
      <c r="C4" s="0" t="s">
        <v>517</v>
      </c>
      <c r="D4" s="0" t="n">
        <v>500</v>
      </c>
      <c r="E4" s="0" t="n">
        <v>660</v>
      </c>
      <c r="F4" s="13" t="n">
        <f aca="false">IF(ISNUMBER(E4),D4*E4,"")</f>
        <v>330000</v>
      </c>
      <c r="G4" s="14" t="n">
        <f aca="false">IF(ISNUMBER(F4),F4/100000,"")</f>
        <v>3.3</v>
      </c>
      <c r="I4" s="4" t="s">
        <v>519</v>
      </c>
      <c r="J4" s="14" t="n">
        <f aca="false">SUMIF(C2:C101,I4,G2:G101)</f>
        <v>84.6503</v>
      </c>
    </row>
    <row r="5" customFormat="false" ht="15" hidden="false" customHeight="false" outlineLevel="0" collapsed="false">
      <c r="A5" s="0" t="s">
        <v>116</v>
      </c>
      <c r="B5" s="0" t="s">
        <v>117</v>
      </c>
      <c r="C5" s="0" t="s">
        <v>516</v>
      </c>
      <c r="D5" s="0" t="n">
        <v>500</v>
      </c>
      <c r="E5" s="0" t="n">
        <v>660</v>
      </c>
      <c r="F5" s="13" t="n">
        <f aca="false">IF(ISNUMBER(E5),D5*E5,"")</f>
        <v>330000</v>
      </c>
      <c r="G5" s="14" t="n">
        <f aca="false">IF(ISNUMBER(F5),F5/100000,"")</f>
        <v>3.3</v>
      </c>
      <c r="I5" s="4" t="s">
        <v>520</v>
      </c>
      <c r="J5" s="14" t="n">
        <f aca="false">SUMIF(C2:C101,I5,G2:G101)</f>
        <v>113.1731</v>
      </c>
    </row>
    <row r="6" customFormat="false" ht="15" hidden="false" customHeight="false" outlineLevel="0" collapsed="false">
      <c r="A6" s="0" t="s">
        <v>120</v>
      </c>
      <c r="B6" s="0" t="s">
        <v>121</v>
      </c>
      <c r="C6" s="0" t="s">
        <v>516</v>
      </c>
      <c r="D6" s="0" t="n">
        <v>1000</v>
      </c>
      <c r="E6" s="0" t="n">
        <v>308.7</v>
      </c>
      <c r="F6" s="13" t="n">
        <f aca="false">IF(ISNUMBER(E6),D6*E6,"")</f>
        <v>308700</v>
      </c>
      <c r="G6" s="14" t="n">
        <f aca="false">IF(ISNUMBER(F6),F6/100000,"")</f>
        <v>3.087</v>
      </c>
      <c r="I6" s="4" t="s">
        <v>518</v>
      </c>
      <c r="J6" s="14" t="n">
        <f aca="false">SUMIF(C2:C101,I6,G2:G101)</f>
        <v>129.441118</v>
      </c>
    </row>
    <row r="7" customFormat="false" ht="15" hidden="false" customHeight="false" outlineLevel="0" collapsed="false">
      <c r="A7" s="0" t="s">
        <v>128</v>
      </c>
      <c r="B7" s="0" t="s">
        <v>129</v>
      </c>
      <c r="C7" s="0" t="s">
        <v>516</v>
      </c>
      <c r="D7" s="0" t="n">
        <v>500</v>
      </c>
      <c r="E7" s="0" t="n">
        <v>531.5</v>
      </c>
      <c r="F7" s="13" t="n">
        <f aca="false">IF(ISNUMBER(E7),D7*E7,"")</f>
        <v>265750</v>
      </c>
      <c r="G7" s="14" t="n">
        <f aca="false">IF(ISNUMBER(F7),F7/100000,"")</f>
        <v>2.6575</v>
      </c>
    </row>
    <row r="8" customFormat="false" ht="15" hidden="false" customHeight="false" outlineLevel="0" collapsed="false">
      <c r="A8" s="0" t="s">
        <v>131</v>
      </c>
      <c r="B8" s="0" t="s">
        <v>132</v>
      </c>
      <c r="C8" s="0" t="s">
        <v>518</v>
      </c>
      <c r="D8" s="0" t="n">
        <v>20</v>
      </c>
      <c r="E8" s="0" t="n">
        <v>7790</v>
      </c>
      <c r="F8" s="13" t="n">
        <f aca="false">IF(ISNUMBER(E8),D8*E8,"")</f>
        <v>155800</v>
      </c>
      <c r="G8" s="14" t="n">
        <f aca="false">IF(ISNUMBER(F8),F8/100000,"")</f>
        <v>1.558</v>
      </c>
    </row>
    <row r="9" customFormat="false" ht="15" hidden="false" customHeight="false" outlineLevel="0" collapsed="false">
      <c r="A9" s="0" t="s">
        <v>131</v>
      </c>
      <c r="B9" s="0" t="s">
        <v>132</v>
      </c>
      <c r="C9" s="0" t="s">
        <v>519</v>
      </c>
      <c r="D9" s="0" t="n">
        <v>100</v>
      </c>
      <c r="E9" s="0" t="n">
        <v>7790</v>
      </c>
      <c r="F9" s="13" t="n">
        <f aca="false">IF(ISNUMBER(E9),D9*E9,"")</f>
        <v>779000</v>
      </c>
      <c r="G9" s="14" t="n">
        <f aca="false">IF(ISNUMBER(F9),F9/100000,"")</f>
        <v>7.79</v>
      </c>
    </row>
    <row r="10" customFormat="false" ht="15" hidden="false" customHeight="false" outlineLevel="0" collapsed="false">
      <c r="A10" s="0" t="s">
        <v>138</v>
      </c>
      <c r="B10" s="0" t="s">
        <v>139</v>
      </c>
      <c r="C10" s="0" t="s">
        <v>518</v>
      </c>
      <c r="D10" s="0" t="n">
        <v>1000</v>
      </c>
      <c r="E10" s="0" t="n">
        <v>128.41</v>
      </c>
      <c r="F10" s="13" t="n">
        <f aca="false">IF(ISNUMBER(E10),D10*E10,"")</f>
        <v>128410</v>
      </c>
      <c r="G10" s="14" t="n">
        <f aca="false">IF(ISNUMBER(F10),F10/100000,"")</f>
        <v>1.2841</v>
      </c>
    </row>
    <row r="11" customFormat="false" ht="15" hidden="false" customHeight="false" outlineLevel="0" collapsed="false">
      <c r="A11" s="0" t="s">
        <v>138</v>
      </c>
      <c r="B11" s="0" t="s">
        <v>139</v>
      </c>
      <c r="C11" s="0" t="s">
        <v>517</v>
      </c>
      <c r="D11" s="0" t="n">
        <v>2000</v>
      </c>
      <c r="E11" s="0" t="n">
        <v>128.41</v>
      </c>
      <c r="F11" s="13" t="n">
        <f aca="false">IF(ISNUMBER(E11),D11*E11,"")</f>
        <v>256820</v>
      </c>
      <c r="G11" s="14" t="n">
        <f aca="false">IF(ISNUMBER(F11),F11/100000,"")</f>
        <v>2.5682</v>
      </c>
    </row>
    <row r="12" customFormat="false" ht="15" hidden="false" customHeight="false" outlineLevel="0" collapsed="false">
      <c r="A12" s="0" t="s">
        <v>143</v>
      </c>
      <c r="B12" s="0" t="s">
        <v>144</v>
      </c>
      <c r="C12" s="0" t="s">
        <v>518</v>
      </c>
      <c r="D12" s="0" t="n">
        <v>15060</v>
      </c>
      <c r="E12" s="0" t="n">
        <v>28.53</v>
      </c>
      <c r="F12" s="13" t="n">
        <f aca="false">IF(ISNUMBER(E12),D12*E12,"")</f>
        <v>429661.8</v>
      </c>
      <c r="G12" s="14" t="n">
        <f aca="false">IF(ISNUMBER(F12),F12/100000,"")</f>
        <v>4.296618</v>
      </c>
    </row>
    <row r="13" customFormat="false" ht="15" hidden="false" customHeight="false" outlineLevel="0" collapsed="false">
      <c r="A13" s="0" t="s">
        <v>147</v>
      </c>
      <c r="B13" s="0" t="s">
        <v>17</v>
      </c>
      <c r="C13" s="0" t="s">
        <v>516</v>
      </c>
      <c r="D13" s="0" t="n">
        <v>2000</v>
      </c>
      <c r="E13" s="0" t="n">
        <v>189</v>
      </c>
      <c r="F13" s="13" t="n">
        <f aca="false">IF(ISNUMBER(E13),D13*E13,"")</f>
        <v>378000</v>
      </c>
      <c r="G13" s="14" t="n">
        <f aca="false">IF(ISNUMBER(F13),F13/100000,"")</f>
        <v>3.78</v>
      </c>
    </row>
    <row r="14" customFormat="false" ht="15" hidden="false" customHeight="false" outlineLevel="0" collapsed="false">
      <c r="A14" s="0" t="s">
        <v>156</v>
      </c>
      <c r="B14" s="0" t="s">
        <v>157</v>
      </c>
      <c r="C14" s="0" t="s">
        <v>516</v>
      </c>
      <c r="D14" s="0" t="n">
        <v>80000</v>
      </c>
      <c r="E14" s="0" t="n">
        <v>7.2</v>
      </c>
      <c r="F14" s="13" t="n">
        <f aca="false">IF(ISNUMBER(E14),D14*E14,"")</f>
        <v>576000</v>
      </c>
      <c r="G14" s="14" t="n">
        <f aca="false">IF(ISNUMBER(F14),F14/100000,"")</f>
        <v>5.76</v>
      </c>
    </row>
    <row r="15" customFormat="false" ht="15" hidden="false" customHeight="false" outlineLevel="0" collapsed="false">
      <c r="A15" s="0" t="s">
        <v>161</v>
      </c>
      <c r="B15" s="0" t="s">
        <v>162</v>
      </c>
      <c r="C15" s="0" t="s">
        <v>518</v>
      </c>
      <c r="D15" s="0" t="n">
        <v>2000</v>
      </c>
      <c r="E15" s="0" t="n">
        <v>112.88</v>
      </c>
      <c r="F15" s="13" t="n">
        <f aca="false">IF(ISNUMBER(E15),D15*E15,"")</f>
        <v>225760</v>
      </c>
      <c r="G15" s="14" t="n">
        <f aca="false">IF(ISNUMBER(F15),F15/100000,"")</f>
        <v>2.2576</v>
      </c>
    </row>
    <row r="16" customFormat="false" ht="15" hidden="false" customHeight="false" outlineLevel="0" collapsed="false">
      <c r="A16" s="0" t="s">
        <v>161</v>
      </c>
      <c r="B16" s="0" t="s">
        <v>162</v>
      </c>
      <c r="C16" s="0" t="s">
        <v>516</v>
      </c>
      <c r="D16" s="0" t="n">
        <v>5000</v>
      </c>
      <c r="E16" s="0" t="n">
        <v>112.88</v>
      </c>
      <c r="F16" s="13" t="n">
        <f aca="false">IF(ISNUMBER(E16),D16*E16,"")</f>
        <v>564400</v>
      </c>
      <c r="G16" s="14" t="n">
        <f aca="false">IF(ISNUMBER(F16),F16/100000,"")</f>
        <v>5.644</v>
      </c>
    </row>
    <row r="17" customFormat="false" ht="15" hidden="false" customHeight="false" outlineLevel="0" collapsed="false">
      <c r="A17" s="0" t="s">
        <v>165</v>
      </c>
      <c r="B17" s="0" t="s">
        <v>166</v>
      </c>
      <c r="C17" s="0" t="s">
        <v>518</v>
      </c>
      <c r="D17" s="0" t="n">
        <v>2000</v>
      </c>
      <c r="E17" s="0" t="n">
        <v>234.01</v>
      </c>
      <c r="F17" s="13" t="n">
        <f aca="false">IF(ISNUMBER(E17),D17*E17,"")</f>
        <v>468020</v>
      </c>
      <c r="G17" s="14" t="n">
        <f aca="false">IF(ISNUMBER(F17),F17/100000,"")</f>
        <v>4.6802</v>
      </c>
    </row>
    <row r="18" customFormat="false" ht="15" hidden="false" customHeight="false" outlineLevel="0" collapsed="false">
      <c r="A18" s="0" t="s">
        <v>165</v>
      </c>
      <c r="B18" s="0" t="s">
        <v>166</v>
      </c>
      <c r="C18" s="0" t="s">
        <v>517</v>
      </c>
      <c r="D18" s="0" t="n">
        <v>3000</v>
      </c>
      <c r="E18" s="0" t="n">
        <v>234.01</v>
      </c>
      <c r="F18" s="13" t="n">
        <f aca="false">IF(ISNUMBER(E18),D18*E18,"")</f>
        <v>702030</v>
      </c>
      <c r="G18" s="14" t="n">
        <f aca="false">IF(ISNUMBER(F18),F18/100000,"")</f>
        <v>7.0203</v>
      </c>
    </row>
    <row r="19" customFormat="false" ht="15" hidden="false" customHeight="false" outlineLevel="0" collapsed="false">
      <c r="A19" s="0" t="s">
        <v>165</v>
      </c>
      <c r="B19" s="0" t="s">
        <v>166</v>
      </c>
      <c r="C19" s="0" t="s">
        <v>516</v>
      </c>
      <c r="D19" s="0" t="n">
        <v>3000</v>
      </c>
      <c r="E19" s="0" t="n">
        <v>234.01</v>
      </c>
      <c r="F19" s="13" t="n">
        <f aca="false">IF(ISNUMBER(E19),D19*E19,"")</f>
        <v>702030</v>
      </c>
      <c r="G19" s="14" t="n">
        <f aca="false">IF(ISNUMBER(F19),F19/100000,"")</f>
        <v>7.0203</v>
      </c>
    </row>
    <row r="20" customFormat="false" ht="15" hidden="false" customHeight="false" outlineLevel="0" collapsed="false">
      <c r="A20" s="0" t="s">
        <v>169</v>
      </c>
      <c r="B20" s="0" t="s">
        <v>170</v>
      </c>
      <c r="C20" s="0" t="s">
        <v>519</v>
      </c>
      <c r="D20" s="0" t="n">
        <v>80</v>
      </c>
      <c r="E20" s="0" t="n">
        <v>17997</v>
      </c>
      <c r="F20" s="13" t="n">
        <f aca="false">IF(ISNUMBER(E20),D20*E20,"")</f>
        <v>1439760</v>
      </c>
      <c r="G20" s="14" t="n">
        <f aca="false">IF(ISNUMBER(F20),F20/100000,"")</f>
        <v>14.3976</v>
      </c>
    </row>
    <row r="21" customFormat="false" ht="15" hidden="false" customHeight="false" outlineLevel="0" collapsed="false">
      <c r="A21" s="0" t="s">
        <v>175</v>
      </c>
      <c r="B21" s="0" t="s">
        <v>50</v>
      </c>
      <c r="C21" s="0" t="s">
        <v>519</v>
      </c>
      <c r="D21" s="0" t="n">
        <v>1200</v>
      </c>
      <c r="E21" s="0" t="n">
        <v>367.4</v>
      </c>
      <c r="F21" s="13" t="n">
        <f aca="false">IF(ISNUMBER(E21),D21*E21,"")</f>
        <v>440880</v>
      </c>
      <c r="G21" s="14" t="n">
        <f aca="false">IF(ISNUMBER(F21),F21/100000,"")</f>
        <v>4.4088</v>
      </c>
    </row>
    <row r="22" customFormat="false" ht="15" hidden="false" customHeight="false" outlineLevel="0" collapsed="false">
      <c r="A22" s="0" t="s">
        <v>179</v>
      </c>
      <c r="B22" s="0" t="s">
        <v>180</v>
      </c>
      <c r="C22" s="0" t="s">
        <v>517</v>
      </c>
      <c r="D22" s="0" t="n">
        <v>7000</v>
      </c>
      <c r="E22" s="0" t="n">
        <v>37.55</v>
      </c>
      <c r="F22" s="13" t="n">
        <f aca="false">IF(ISNUMBER(E22),D22*E22,"")</f>
        <v>262850</v>
      </c>
      <c r="G22" s="14" t="n">
        <f aca="false">IF(ISNUMBER(F22),F22/100000,"")</f>
        <v>2.6285</v>
      </c>
    </row>
    <row r="23" customFormat="false" ht="15" hidden="false" customHeight="false" outlineLevel="0" collapsed="false">
      <c r="A23" s="0" t="s">
        <v>188</v>
      </c>
      <c r="B23" s="0" t="s">
        <v>189</v>
      </c>
      <c r="C23" s="0" t="s">
        <v>520</v>
      </c>
      <c r="D23" s="0" t="n">
        <v>30</v>
      </c>
      <c r="E23" s="0" t="n">
        <v>13495</v>
      </c>
      <c r="F23" s="13" t="n">
        <f aca="false">IF(ISNUMBER(E23),D23*E23,"")</f>
        <v>404850</v>
      </c>
      <c r="G23" s="14" t="n">
        <f aca="false">IF(ISNUMBER(F23),F23/100000,"")</f>
        <v>4.0485</v>
      </c>
    </row>
    <row r="24" customFormat="false" ht="15" hidden="false" customHeight="false" outlineLevel="0" collapsed="false">
      <c r="A24" s="0" t="s">
        <v>188</v>
      </c>
      <c r="B24" s="0" t="s">
        <v>189</v>
      </c>
      <c r="C24" s="0" t="s">
        <v>517</v>
      </c>
      <c r="D24" s="0" t="n">
        <v>30</v>
      </c>
      <c r="E24" s="0" t="n">
        <v>13495</v>
      </c>
      <c r="F24" s="13" t="n">
        <f aca="false">IF(ISNUMBER(E24),D24*E24,"")</f>
        <v>404850</v>
      </c>
      <c r="G24" s="14" t="n">
        <f aca="false">IF(ISNUMBER(F24),F24/100000,"")</f>
        <v>4.0485</v>
      </c>
    </row>
    <row r="25" customFormat="false" ht="15" hidden="false" customHeight="false" outlineLevel="0" collapsed="false">
      <c r="A25" s="0" t="s">
        <v>188</v>
      </c>
      <c r="B25" s="0" t="s">
        <v>189</v>
      </c>
      <c r="C25" s="0" t="s">
        <v>519</v>
      </c>
      <c r="D25" s="0" t="n">
        <v>10</v>
      </c>
      <c r="E25" s="0" t="n">
        <v>13495</v>
      </c>
      <c r="F25" s="13" t="n">
        <f aca="false">IF(ISNUMBER(E25),D25*E25,"")</f>
        <v>134950</v>
      </c>
      <c r="G25" s="14" t="n">
        <f aca="false">IF(ISNUMBER(F25),F25/100000,"")</f>
        <v>1.3495</v>
      </c>
    </row>
    <row r="26" customFormat="false" ht="15" hidden="false" customHeight="false" outlineLevel="0" collapsed="false">
      <c r="A26" s="0" t="s">
        <v>197</v>
      </c>
      <c r="B26" s="0" t="s">
        <v>198</v>
      </c>
      <c r="C26" s="0" t="s">
        <v>517</v>
      </c>
      <c r="D26" s="0" t="n">
        <v>10000</v>
      </c>
      <c r="E26" s="0" t="n">
        <v>31.59</v>
      </c>
      <c r="F26" s="13" t="n">
        <f aca="false">IF(ISNUMBER(E26),D26*E26,"")</f>
        <v>315900</v>
      </c>
      <c r="G26" s="14" t="n">
        <f aca="false">IF(ISNUMBER(F26),F26/100000,"")</f>
        <v>3.159</v>
      </c>
    </row>
    <row r="27" customFormat="false" ht="15" hidden="false" customHeight="false" outlineLevel="0" collapsed="false">
      <c r="A27" s="0" t="s">
        <v>197</v>
      </c>
      <c r="B27" s="0" t="s">
        <v>198</v>
      </c>
      <c r="C27" s="0" t="s">
        <v>519</v>
      </c>
      <c r="D27" s="0" t="n">
        <v>10000</v>
      </c>
      <c r="E27" s="0" t="n">
        <v>31.59</v>
      </c>
      <c r="F27" s="13" t="n">
        <f aca="false">IF(ISNUMBER(E27),D27*E27,"")</f>
        <v>315900</v>
      </c>
      <c r="G27" s="14" t="n">
        <f aca="false">IF(ISNUMBER(F27),F27/100000,"")</f>
        <v>3.159</v>
      </c>
    </row>
    <row r="28" customFormat="false" ht="15" hidden="false" customHeight="false" outlineLevel="0" collapsed="false">
      <c r="A28" s="0" t="s">
        <v>197</v>
      </c>
      <c r="B28" s="0" t="s">
        <v>198</v>
      </c>
      <c r="C28" s="0" t="s">
        <v>516</v>
      </c>
      <c r="D28" s="0" t="n">
        <v>15000</v>
      </c>
      <c r="E28" s="0" t="n">
        <v>31.59</v>
      </c>
      <c r="F28" s="13" t="n">
        <f aca="false">IF(ISNUMBER(E28),D28*E28,"")</f>
        <v>473850</v>
      </c>
      <c r="G28" s="14" t="n">
        <f aca="false">IF(ISNUMBER(F28),F28/100000,"")</f>
        <v>4.7385</v>
      </c>
    </row>
    <row r="29" customFormat="false" ht="15" hidden="false" customHeight="false" outlineLevel="0" collapsed="false">
      <c r="A29" s="0" t="s">
        <v>205</v>
      </c>
      <c r="B29" s="0" t="s">
        <v>206</v>
      </c>
      <c r="C29" s="0" t="s">
        <v>517</v>
      </c>
      <c r="D29" s="0" t="n">
        <v>20000</v>
      </c>
      <c r="E29" s="0" t="n">
        <v>29.12</v>
      </c>
      <c r="F29" s="13" t="n">
        <f aca="false">IF(ISNUMBER(E29),D29*E29,"")</f>
        <v>582400</v>
      </c>
      <c r="G29" s="14" t="n">
        <f aca="false">IF(ISNUMBER(F29),F29/100000,"")</f>
        <v>5.824</v>
      </c>
    </row>
    <row r="30" customFormat="false" ht="15" hidden="false" customHeight="false" outlineLevel="0" collapsed="false">
      <c r="A30" s="0" t="s">
        <v>205</v>
      </c>
      <c r="B30" s="0" t="s">
        <v>206</v>
      </c>
      <c r="C30" s="0" t="s">
        <v>519</v>
      </c>
      <c r="D30" s="0" t="n">
        <v>10000</v>
      </c>
      <c r="E30" s="0" t="n">
        <v>29.12</v>
      </c>
      <c r="F30" s="13" t="n">
        <f aca="false">IF(ISNUMBER(E30),D30*E30,"")</f>
        <v>291200</v>
      </c>
      <c r="G30" s="14" t="n">
        <f aca="false">IF(ISNUMBER(F30),F30/100000,"")</f>
        <v>2.912</v>
      </c>
    </row>
    <row r="31" customFormat="false" ht="15" hidden="false" customHeight="false" outlineLevel="0" collapsed="false">
      <c r="A31" s="0" t="s">
        <v>205</v>
      </c>
      <c r="B31" s="0" t="s">
        <v>206</v>
      </c>
      <c r="C31" s="0" t="s">
        <v>516</v>
      </c>
      <c r="D31" s="0" t="n">
        <v>10000</v>
      </c>
      <c r="E31" s="0" t="n">
        <v>29.12</v>
      </c>
      <c r="F31" s="13" t="n">
        <f aca="false">IF(ISNUMBER(E31),D31*E31,"")</f>
        <v>291200</v>
      </c>
      <c r="G31" s="14" t="n">
        <f aca="false">IF(ISNUMBER(F31),F31/100000,"")</f>
        <v>2.912</v>
      </c>
    </row>
    <row r="32" customFormat="false" ht="15" hidden="false" customHeight="false" outlineLevel="0" collapsed="false">
      <c r="A32" s="0" t="s">
        <v>211</v>
      </c>
      <c r="B32" s="0" t="s">
        <v>212</v>
      </c>
      <c r="C32" s="0" t="s">
        <v>516</v>
      </c>
      <c r="D32" s="0" t="n">
        <v>1000</v>
      </c>
      <c r="E32" s="0" t="n">
        <v>368.15</v>
      </c>
      <c r="F32" s="13" t="n">
        <f aca="false">IF(ISNUMBER(E32),D32*E32,"")</f>
        <v>368150</v>
      </c>
      <c r="G32" s="14" t="n">
        <f aca="false">IF(ISNUMBER(F32),F32/100000,"")</f>
        <v>3.6815</v>
      </c>
    </row>
    <row r="33" customFormat="false" ht="15" hidden="false" customHeight="false" outlineLevel="0" collapsed="false">
      <c r="A33" s="0" t="s">
        <v>213</v>
      </c>
      <c r="B33" s="0" t="s">
        <v>214</v>
      </c>
      <c r="C33" s="0" t="s">
        <v>517</v>
      </c>
      <c r="D33" s="0" t="n">
        <v>1000</v>
      </c>
      <c r="E33" s="0" t="n">
        <v>1260</v>
      </c>
      <c r="F33" s="13" t="n">
        <f aca="false">IF(ISNUMBER(E33),D33*E33,"")</f>
        <v>1260000</v>
      </c>
      <c r="G33" s="14" t="n">
        <f aca="false">IF(ISNUMBER(F33),F33/100000,"")</f>
        <v>12.6</v>
      </c>
    </row>
    <row r="34" customFormat="false" ht="15" hidden="false" customHeight="false" outlineLevel="0" collapsed="false">
      <c r="A34" s="0" t="s">
        <v>223</v>
      </c>
      <c r="B34" s="0" t="s">
        <v>224</v>
      </c>
      <c r="C34" s="0" t="s">
        <v>517</v>
      </c>
      <c r="D34" s="0" t="n">
        <v>10000</v>
      </c>
      <c r="E34" s="0" t="n">
        <v>30.18</v>
      </c>
      <c r="F34" s="13" t="n">
        <f aca="false">IF(ISNUMBER(E34),D34*E34,"")</f>
        <v>301800</v>
      </c>
      <c r="G34" s="14" t="n">
        <f aca="false">IF(ISNUMBER(F34),F34/100000,"")</f>
        <v>3.018</v>
      </c>
    </row>
    <row r="35" customFormat="false" ht="15" hidden="false" customHeight="false" outlineLevel="0" collapsed="false">
      <c r="A35" s="0" t="s">
        <v>223</v>
      </c>
      <c r="B35" s="0" t="s">
        <v>224</v>
      </c>
      <c r="C35" s="0" t="s">
        <v>519</v>
      </c>
      <c r="D35" s="0" t="n">
        <v>10000</v>
      </c>
      <c r="E35" s="0" t="n">
        <v>30.18</v>
      </c>
      <c r="F35" s="13" t="n">
        <f aca="false">IF(ISNUMBER(E35),D35*E35,"")</f>
        <v>301800</v>
      </c>
      <c r="G35" s="14" t="n">
        <f aca="false">IF(ISNUMBER(F35),F35/100000,"")</f>
        <v>3.018</v>
      </c>
    </row>
    <row r="36" customFormat="false" ht="15" hidden="false" customHeight="false" outlineLevel="0" collapsed="false">
      <c r="A36" s="0" t="s">
        <v>223</v>
      </c>
      <c r="B36" s="0" t="s">
        <v>224</v>
      </c>
      <c r="C36" s="0" t="s">
        <v>516</v>
      </c>
      <c r="D36" s="0" t="n">
        <v>10000</v>
      </c>
      <c r="E36" s="0" t="n">
        <v>30.18</v>
      </c>
      <c r="F36" s="13" t="n">
        <f aca="false">IF(ISNUMBER(E36),D36*E36,"")</f>
        <v>301800</v>
      </c>
      <c r="G36" s="14" t="n">
        <f aca="false">IF(ISNUMBER(F36),F36/100000,"")</f>
        <v>3.018</v>
      </c>
    </row>
    <row r="37" customFormat="false" ht="15" hidden="false" customHeight="false" outlineLevel="0" collapsed="false">
      <c r="A37" s="0" t="s">
        <v>235</v>
      </c>
      <c r="B37" s="0" t="s">
        <v>12</v>
      </c>
      <c r="C37" s="0" t="s">
        <v>520</v>
      </c>
      <c r="D37" s="0" t="n">
        <v>1000</v>
      </c>
      <c r="E37" s="0" t="n">
        <v>543.5</v>
      </c>
      <c r="F37" s="13" t="n">
        <f aca="false">IF(ISNUMBER(E37),D37*E37,"")</f>
        <v>543500</v>
      </c>
      <c r="G37" s="14" t="n">
        <f aca="false">IF(ISNUMBER(F37),F37/100000,"")</f>
        <v>5.435</v>
      </c>
    </row>
    <row r="38" customFormat="false" ht="15" hidden="false" customHeight="false" outlineLevel="0" collapsed="false">
      <c r="A38" s="0" t="s">
        <v>235</v>
      </c>
      <c r="B38" s="0" t="s">
        <v>12</v>
      </c>
      <c r="C38" s="0" t="s">
        <v>516</v>
      </c>
      <c r="D38" s="0" t="n">
        <v>1000</v>
      </c>
      <c r="E38" s="0" t="n">
        <v>543.5</v>
      </c>
      <c r="F38" s="13" t="n">
        <f aca="false">IF(ISNUMBER(E38),D38*E38,"")</f>
        <v>543500</v>
      </c>
      <c r="G38" s="14" t="n">
        <f aca="false">IF(ISNUMBER(F38),F38/100000,"")</f>
        <v>5.435</v>
      </c>
    </row>
    <row r="39" customFormat="false" ht="15" hidden="false" customHeight="false" outlineLevel="0" collapsed="false">
      <c r="A39" s="0" t="s">
        <v>238</v>
      </c>
      <c r="B39" s="0" t="s">
        <v>239</v>
      </c>
      <c r="C39" s="0" t="s">
        <v>520</v>
      </c>
      <c r="D39" s="0" t="n">
        <v>5000</v>
      </c>
      <c r="E39" s="0" t="n">
        <v>108.25</v>
      </c>
      <c r="F39" s="13" t="n">
        <f aca="false">IF(ISNUMBER(E39),D39*E39,"")</f>
        <v>541250</v>
      </c>
      <c r="G39" s="14" t="n">
        <f aca="false">IF(ISNUMBER(F39),F39/100000,"")</f>
        <v>5.4125</v>
      </c>
    </row>
    <row r="40" customFormat="false" ht="15" hidden="false" customHeight="false" outlineLevel="0" collapsed="false">
      <c r="A40" s="0" t="s">
        <v>238</v>
      </c>
      <c r="B40" s="0" t="s">
        <v>239</v>
      </c>
      <c r="C40" s="0" t="s">
        <v>516</v>
      </c>
      <c r="D40" s="0" t="n">
        <v>5000</v>
      </c>
      <c r="E40" s="0" t="n">
        <v>108.25</v>
      </c>
      <c r="F40" s="13" t="n">
        <f aca="false">IF(ISNUMBER(E40),D40*E40,"")</f>
        <v>541250</v>
      </c>
      <c r="G40" s="14" t="n">
        <f aca="false">IF(ISNUMBER(F40),F40/100000,"")</f>
        <v>5.4125</v>
      </c>
    </row>
    <row r="41" customFormat="false" ht="15" hidden="false" customHeight="false" outlineLevel="0" collapsed="false">
      <c r="A41" s="0" t="s">
        <v>251</v>
      </c>
      <c r="B41" s="0" t="s">
        <v>252</v>
      </c>
      <c r="C41" s="0" t="s">
        <v>516</v>
      </c>
      <c r="D41" s="0" t="n">
        <v>1002</v>
      </c>
      <c r="E41" s="0" t="n">
        <v>475.25</v>
      </c>
      <c r="F41" s="13" t="n">
        <f aca="false">IF(ISNUMBER(E41),D41*E41,"")</f>
        <v>476200.5</v>
      </c>
      <c r="G41" s="14" t="n">
        <f aca="false">IF(ISNUMBER(F41),F41/100000,"")</f>
        <v>4.762005</v>
      </c>
    </row>
    <row r="42" customFormat="false" ht="15" hidden="false" customHeight="false" outlineLevel="0" collapsed="false">
      <c r="A42" s="0" t="s">
        <v>255</v>
      </c>
      <c r="B42" s="0" t="s">
        <v>256</v>
      </c>
      <c r="C42" s="0" t="s">
        <v>516</v>
      </c>
      <c r="D42" s="0" t="n">
        <v>700</v>
      </c>
      <c r="E42" s="0" t="n">
        <v>698</v>
      </c>
      <c r="F42" s="13" t="n">
        <f aca="false">IF(ISNUMBER(E42),D42*E42,"")</f>
        <v>488600</v>
      </c>
      <c r="G42" s="14" t="n">
        <f aca="false">IF(ISNUMBER(F42),F42/100000,"")</f>
        <v>4.886</v>
      </c>
    </row>
    <row r="43" customFormat="false" ht="15" hidden="false" customHeight="false" outlineLevel="0" collapsed="false">
      <c r="A43" s="0" t="s">
        <v>268</v>
      </c>
      <c r="B43" s="0" t="s">
        <v>269</v>
      </c>
      <c r="C43" s="0" t="s">
        <v>518</v>
      </c>
      <c r="D43" s="0" t="n">
        <v>3000</v>
      </c>
      <c r="E43" s="0" t="n">
        <v>481.6</v>
      </c>
      <c r="F43" s="13" t="n">
        <f aca="false">IF(ISNUMBER(E43),D43*E43,"")</f>
        <v>1444800</v>
      </c>
      <c r="G43" s="14" t="n">
        <f aca="false">IF(ISNUMBER(F43),F43/100000,"")</f>
        <v>14.448</v>
      </c>
    </row>
    <row r="44" customFormat="false" ht="15" hidden="false" customHeight="false" outlineLevel="0" collapsed="false">
      <c r="A44" s="0" t="s">
        <v>268</v>
      </c>
      <c r="B44" s="0" t="s">
        <v>269</v>
      </c>
      <c r="C44" s="0" t="s">
        <v>516</v>
      </c>
      <c r="D44" s="0" t="n">
        <v>2000</v>
      </c>
      <c r="E44" s="0" t="n">
        <v>481.6</v>
      </c>
      <c r="F44" s="13" t="n">
        <f aca="false">IF(ISNUMBER(E44),D44*E44,"")</f>
        <v>963200</v>
      </c>
      <c r="G44" s="14" t="n">
        <f aca="false">IF(ISNUMBER(F44),F44/100000,"")</f>
        <v>9.632</v>
      </c>
    </row>
    <row r="45" customFormat="false" ht="15" hidden="false" customHeight="false" outlineLevel="0" collapsed="false">
      <c r="A45" s="0" t="s">
        <v>276</v>
      </c>
      <c r="B45" s="0" t="s">
        <v>277</v>
      </c>
      <c r="C45" s="0" t="s">
        <v>517</v>
      </c>
      <c r="D45" s="0" t="n">
        <v>500</v>
      </c>
      <c r="E45" s="0" t="n">
        <v>601</v>
      </c>
      <c r="F45" s="13" t="n">
        <f aca="false">IF(ISNUMBER(E45),D45*E45,"")</f>
        <v>300500</v>
      </c>
      <c r="G45" s="14" t="n">
        <f aca="false">IF(ISNUMBER(F45),F45/100000,"")</f>
        <v>3.005</v>
      </c>
    </row>
    <row r="46" customFormat="false" ht="15" hidden="false" customHeight="false" outlineLevel="0" collapsed="false">
      <c r="A46" s="0" t="s">
        <v>285</v>
      </c>
      <c r="B46" s="0" t="s">
        <v>286</v>
      </c>
      <c r="C46" s="0" t="s">
        <v>518</v>
      </c>
      <c r="D46" s="0" t="n">
        <v>100</v>
      </c>
      <c r="E46" s="0" t="n">
        <v>1387</v>
      </c>
      <c r="F46" s="13" t="n">
        <f aca="false">IF(ISNUMBER(E46),D46*E46,"")</f>
        <v>138700</v>
      </c>
      <c r="G46" s="14" t="n">
        <f aca="false">IF(ISNUMBER(F46),F46/100000,"")</f>
        <v>1.387</v>
      </c>
    </row>
    <row r="47" customFormat="false" ht="15" hidden="false" customHeight="false" outlineLevel="0" collapsed="false">
      <c r="A47" s="0" t="s">
        <v>294</v>
      </c>
      <c r="B47" s="0" t="s">
        <v>295</v>
      </c>
      <c r="C47" s="0" t="s">
        <v>518</v>
      </c>
      <c r="D47" s="0" t="n">
        <v>50</v>
      </c>
      <c r="E47" s="0" t="n">
        <v>4285</v>
      </c>
      <c r="F47" s="13" t="n">
        <f aca="false">IF(ISNUMBER(E47),D47*E47,"")</f>
        <v>214250</v>
      </c>
      <c r="G47" s="14" t="n">
        <f aca="false">IF(ISNUMBER(F47),F47/100000,"")</f>
        <v>2.1425</v>
      </c>
    </row>
    <row r="48" customFormat="false" ht="15" hidden="false" customHeight="false" outlineLevel="0" collapsed="false">
      <c r="A48" s="0" t="s">
        <v>294</v>
      </c>
      <c r="B48" s="0" t="s">
        <v>295</v>
      </c>
      <c r="C48" s="0" t="s">
        <v>519</v>
      </c>
      <c r="D48" s="0" t="n">
        <v>50</v>
      </c>
      <c r="E48" s="0" t="n">
        <v>4285</v>
      </c>
      <c r="F48" s="13" t="n">
        <f aca="false">IF(ISNUMBER(E48),D48*E48,"")</f>
        <v>214250</v>
      </c>
      <c r="G48" s="14" t="n">
        <f aca="false">IF(ISNUMBER(F48),F48/100000,"")</f>
        <v>2.1425</v>
      </c>
    </row>
    <row r="49" customFormat="false" ht="15" hidden="false" customHeight="false" outlineLevel="0" collapsed="false">
      <c r="A49" s="0" t="s">
        <v>312</v>
      </c>
      <c r="B49" s="0" t="s">
        <v>313</v>
      </c>
      <c r="C49" s="0" t="s">
        <v>520</v>
      </c>
      <c r="D49" s="0" t="n">
        <v>200</v>
      </c>
      <c r="E49" s="0" t="n">
        <v>638.3</v>
      </c>
      <c r="F49" s="13" t="n">
        <f aca="false">IF(ISNUMBER(E49),D49*E49,"")</f>
        <v>127660</v>
      </c>
      <c r="G49" s="14" t="n">
        <f aca="false">IF(ISNUMBER(F49),F49/100000,"")</f>
        <v>1.2766</v>
      </c>
    </row>
    <row r="50" customFormat="false" ht="15" hidden="false" customHeight="false" outlineLevel="0" collapsed="false">
      <c r="A50" s="0" t="s">
        <v>312</v>
      </c>
      <c r="B50" s="0" t="s">
        <v>313</v>
      </c>
      <c r="C50" s="0" t="s">
        <v>518</v>
      </c>
      <c r="D50" s="0" t="n">
        <v>2000</v>
      </c>
      <c r="E50" s="0" t="n">
        <v>638.3</v>
      </c>
      <c r="F50" s="13" t="n">
        <f aca="false">IF(ISNUMBER(E50),D50*E50,"")</f>
        <v>1276600</v>
      </c>
      <c r="G50" s="14" t="n">
        <f aca="false">IF(ISNUMBER(F50),F50/100000,"")</f>
        <v>12.766</v>
      </c>
    </row>
    <row r="51" customFormat="false" ht="15" hidden="false" customHeight="false" outlineLevel="0" collapsed="false">
      <c r="A51" s="0" t="s">
        <v>312</v>
      </c>
      <c r="B51" s="0" t="s">
        <v>313</v>
      </c>
      <c r="C51" s="0" t="s">
        <v>516</v>
      </c>
      <c r="D51" s="0" t="n">
        <v>500</v>
      </c>
      <c r="E51" s="0" t="n">
        <v>638.3</v>
      </c>
      <c r="F51" s="13" t="n">
        <f aca="false">IF(ISNUMBER(E51),D51*E51,"")</f>
        <v>319150</v>
      </c>
      <c r="G51" s="14" t="n">
        <f aca="false">IF(ISNUMBER(F51),F51/100000,"")</f>
        <v>3.1915</v>
      </c>
    </row>
    <row r="52" customFormat="false" ht="15" hidden="false" customHeight="false" outlineLevel="0" collapsed="false">
      <c r="A52" s="0" t="s">
        <v>321</v>
      </c>
      <c r="B52" s="0" t="s">
        <v>322</v>
      </c>
      <c r="C52" s="0" t="s">
        <v>517</v>
      </c>
      <c r="D52" s="0" t="n">
        <v>500</v>
      </c>
      <c r="E52" s="0" t="n">
        <v>293.25</v>
      </c>
      <c r="F52" s="13" t="n">
        <f aca="false">IF(ISNUMBER(E52),D52*E52,"")</f>
        <v>146625</v>
      </c>
      <c r="G52" s="14" t="n">
        <f aca="false">IF(ISNUMBER(F52),F52/100000,"")</f>
        <v>1.46625</v>
      </c>
    </row>
    <row r="53" customFormat="false" ht="15" hidden="false" customHeight="false" outlineLevel="0" collapsed="false">
      <c r="A53" s="0" t="s">
        <v>325</v>
      </c>
      <c r="B53" s="0" t="s">
        <v>326</v>
      </c>
      <c r="C53" s="0" t="s">
        <v>517</v>
      </c>
      <c r="D53" s="0" t="n">
        <v>100</v>
      </c>
      <c r="E53" s="0" t="n">
        <v>719.8</v>
      </c>
      <c r="F53" s="13" t="n">
        <f aca="false">IF(ISNUMBER(E53),D53*E53,"")</f>
        <v>71980</v>
      </c>
      <c r="G53" s="14" t="n">
        <f aca="false">IF(ISNUMBER(F53),F53/100000,"")</f>
        <v>0.7198</v>
      </c>
    </row>
    <row r="54" customFormat="false" ht="15" hidden="false" customHeight="false" outlineLevel="0" collapsed="false">
      <c r="A54" s="0" t="s">
        <v>328</v>
      </c>
      <c r="B54" s="0" t="s">
        <v>329</v>
      </c>
      <c r="C54" s="0" t="s">
        <v>520</v>
      </c>
      <c r="D54" s="0" t="n">
        <v>1000</v>
      </c>
      <c r="E54" s="0" t="n">
        <v>172</v>
      </c>
      <c r="F54" s="13" t="n">
        <f aca="false">IF(ISNUMBER(E54),D54*E54,"")</f>
        <v>172000</v>
      </c>
      <c r="G54" s="14" t="n">
        <f aca="false">IF(ISNUMBER(F54),F54/100000,"")</f>
        <v>1.72</v>
      </c>
    </row>
    <row r="55" customFormat="false" ht="15" hidden="false" customHeight="false" outlineLevel="0" collapsed="false">
      <c r="A55" s="0" t="s">
        <v>328</v>
      </c>
      <c r="B55" s="0" t="s">
        <v>329</v>
      </c>
      <c r="C55" s="0" t="s">
        <v>516</v>
      </c>
      <c r="D55" s="0" t="n">
        <v>5000</v>
      </c>
      <c r="E55" s="0" t="n">
        <v>172</v>
      </c>
      <c r="F55" s="13" t="n">
        <f aca="false">IF(ISNUMBER(E55),D55*E55,"")</f>
        <v>860000</v>
      </c>
      <c r="G55" s="14" t="n">
        <f aca="false">IF(ISNUMBER(F55),F55/100000,"")</f>
        <v>8.6</v>
      </c>
    </row>
    <row r="56" customFormat="false" ht="15" hidden="false" customHeight="false" outlineLevel="0" collapsed="false">
      <c r="A56" s="0" t="s">
        <v>333</v>
      </c>
      <c r="B56" s="0" t="s">
        <v>334</v>
      </c>
      <c r="C56" s="0" t="s">
        <v>517</v>
      </c>
      <c r="D56" s="0" t="n">
        <v>1000</v>
      </c>
      <c r="E56" s="0" t="n">
        <v>23.28</v>
      </c>
      <c r="F56" s="13" t="n">
        <f aca="false">IF(ISNUMBER(E56),D56*E56,"")</f>
        <v>23280</v>
      </c>
      <c r="G56" s="14" t="n">
        <f aca="false">IF(ISNUMBER(F56),F56/100000,"")</f>
        <v>0.2328</v>
      </c>
    </row>
    <row r="57" customFormat="false" ht="15" hidden="false" customHeight="false" outlineLevel="0" collapsed="false">
      <c r="A57" s="0" t="s">
        <v>335</v>
      </c>
      <c r="B57" s="0" t="s">
        <v>336</v>
      </c>
      <c r="C57" s="0" t="s">
        <v>519</v>
      </c>
      <c r="D57" s="0" t="n">
        <v>500</v>
      </c>
      <c r="E57" s="0" t="n">
        <v>190.5</v>
      </c>
      <c r="F57" s="13" t="n">
        <f aca="false">IF(ISNUMBER(E57),D57*E57,"")</f>
        <v>95250</v>
      </c>
      <c r="G57" s="14" t="n">
        <f aca="false">IF(ISNUMBER(F57),F57/100000,"")</f>
        <v>0.9525</v>
      </c>
    </row>
    <row r="58" customFormat="false" ht="15" hidden="false" customHeight="false" outlineLevel="0" collapsed="false">
      <c r="A58" s="0" t="s">
        <v>340</v>
      </c>
      <c r="B58" s="0" t="s">
        <v>341</v>
      </c>
      <c r="C58" s="0" t="s">
        <v>520</v>
      </c>
      <c r="D58" s="0" t="n">
        <v>1000</v>
      </c>
      <c r="E58" s="0" t="n">
        <v>282.35</v>
      </c>
      <c r="F58" s="13" t="n">
        <f aca="false">IF(ISNUMBER(E58),D58*E58,"")</f>
        <v>282350</v>
      </c>
      <c r="G58" s="14" t="n">
        <f aca="false">IF(ISNUMBER(F58),F58/100000,"")</f>
        <v>2.8235</v>
      </c>
    </row>
    <row r="59" customFormat="false" ht="15" hidden="false" customHeight="false" outlineLevel="0" collapsed="false">
      <c r="A59" s="0" t="s">
        <v>340</v>
      </c>
      <c r="B59" s="0" t="s">
        <v>341</v>
      </c>
      <c r="C59" s="0" t="s">
        <v>518</v>
      </c>
      <c r="D59" s="0" t="n">
        <v>3000</v>
      </c>
      <c r="E59" s="0" t="n">
        <v>282.35</v>
      </c>
      <c r="F59" s="13" t="n">
        <f aca="false">IF(ISNUMBER(E59),D59*E59,"")</f>
        <v>847050</v>
      </c>
      <c r="G59" s="14" t="n">
        <f aca="false">IF(ISNUMBER(F59),F59/100000,"")</f>
        <v>8.4705</v>
      </c>
    </row>
    <row r="60" customFormat="false" ht="15" hidden="false" customHeight="false" outlineLevel="0" collapsed="false">
      <c r="A60" s="0" t="s">
        <v>340</v>
      </c>
      <c r="B60" s="0" t="s">
        <v>341</v>
      </c>
      <c r="C60" s="0" t="s">
        <v>516</v>
      </c>
      <c r="D60" s="0" t="n">
        <v>1500</v>
      </c>
      <c r="E60" s="0" t="n">
        <v>282.35</v>
      </c>
      <c r="F60" s="13" t="n">
        <f aca="false">IF(ISNUMBER(E60),D60*E60,"")</f>
        <v>423525</v>
      </c>
      <c r="G60" s="14" t="n">
        <f aca="false">IF(ISNUMBER(F60),F60/100000,"")</f>
        <v>4.23525</v>
      </c>
    </row>
    <row r="61" customFormat="false" ht="15" hidden="false" customHeight="false" outlineLevel="0" collapsed="false">
      <c r="A61" s="0" t="s">
        <v>352</v>
      </c>
      <c r="B61" s="0" t="s">
        <v>353</v>
      </c>
      <c r="C61" s="0" t="s">
        <v>518</v>
      </c>
      <c r="D61" s="0" t="n">
        <v>1000</v>
      </c>
      <c r="E61" s="0" t="n">
        <v>70.2</v>
      </c>
      <c r="F61" s="13" t="n">
        <f aca="false">IF(ISNUMBER(E61),D61*E61,"")</f>
        <v>70200</v>
      </c>
      <c r="G61" s="14" t="n">
        <f aca="false">IF(ISNUMBER(F61),F61/100000,"")</f>
        <v>0.702</v>
      </c>
    </row>
    <row r="62" customFormat="false" ht="15" hidden="false" customHeight="false" outlineLevel="0" collapsed="false">
      <c r="A62" s="0" t="s">
        <v>352</v>
      </c>
      <c r="B62" s="0" t="s">
        <v>353</v>
      </c>
      <c r="C62" s="0" t="s">
        <v>517</v>
      </c>
      <c r="D62" s="0" t="n">
        <v>4000</v>
      </c>
      <c r="E62" s="0" t="n">
        <v>70.2</v>
      </c>
      <c r="F62" s="13" t="n">
        <f aca="false">IF(ISNUMBER(E62),D62*E62,"")</f>
        <v>280800</v>
      </c>
      <c r="G62" s="14" t="n">
        <f aca="false">IF(ISNUMBER(F62),F62/100000,"")</f>
        <v>2.808</v>
      </c>
    </row>
    <row r="63" customFormat="false" ht="15" hidden="false" customHeight="false" outlineLevel="0" collapsed="false">
      <c r="A63" s="0" t="s">
        <v>356</v>
      </c>
      <c r="B63" s="0" t="s">
        <v>357</v>
      </c>
      <c r="C63" s="0" t="s">
        <v>516</v>
      </c>
      <c r="D63" s="0" t="n">
        <v>1000</v>
      </c>
      <c r="E63" s="0" t="n">
        <v>188.5</v>
      </c>
      <c r="F63" s="13" t="n">
        <f aca="false">IF(ISNUMBER(E63),D63*E63,"")</f>
        <v>188500</v>
      </c>
      <c r="G63" s="14" t="n">
        <f aca="false">IF(ISNUMBER(F63),F63/100000,"")</f>
        <v>1.885</v>
      </c>
    </row>
    <row r="64" customFormat="false" ht="15" hidden="false" customHeight="false" outlineLevel="0" collapsed="false">
      <c r="A64" s="0" t="s">
        <v>363</v>
      </c>
      <c r="B64" s="0" t="s">
        <v>364</v>
      </c>
      <c r="C64" s="0" t="s">
        <v>518</v>
      </c>
      <c r="D64" s="0" t="n">
        <v>7000</v>
      </c>
      <c r="E64" s="0" t="n">
        <v>143.2</v>
      </c>
      <c r="F64" s="13" t="n">
        <f aca="false">IF(ISNUMBER(E64),D64*E64,"")</f>
        <v>1002400</v>
      </c>
      <c r="G64" s="14" t="n">
        <f aca="false">IF(ISNUMBER(F64),F64/100000,"")</f>
        <v>10.024</v>
      </c>
    </row>
    <row r="65" customFormat="false" ht="15" hidden="false" customHeight="false" outlineLevel="0" collapsed="false">
      <c r="A65" s="0" t="s">
        <v>371</v>
      </c>
      <c r="B65" s="0" t="s">
        <v>372</v>
      </c>
      <c r="C65" s="0" t="s">
        <v>517</v>
      </c>
      <c r="D65" s="0" t="n">
        <v>1000</v>
      </c>
      <c r="E65" s="0" t="n">
        <v>198.02</v>
      </c>
      <c r="F65" s="13" t="n">
        <f aca="false">IF(ISNUMBER(E65),D65*E65,"")</f>
        <v>198020</v>
      </c>
      <c r="G65" s="14" t="n">
        <f aca="false">IF(ISNUMBER(F65),F65/100000,"")</f>
        <v>1.9802</v>
      </c>
    </row>
    <row r="66" customFormat="false" ht="15" hidden="false" customHeight="false" outlineLevel="0" collapsed="false">
      <c r="A66" s="0" t="s">
        <v>383</v>
      </c>
      <c r="B66" s="0" t="s">
        <v>384</v>
      </c>
      <c r="C66" s="0" t="s">
        <v>520</v>
      </c>
      <c r="D66" s="0" t="n">
        <v>100</v>
      </c>
      <c r="E66" s="0" t="n">
        <v>2924</v>
      </c>
      <c r="F66" s="13" t="n">
        <f aca="false">IF(ISNUMBER(E66),D66*E66,"")</f>
        <v>292400</v>
      </c>
      <c r="G66" s="14" t="n">
        <f aca="false">IF(ISNUMBER(F66),F66/100000,"")</f>
        <v>2.924</v>
      </c>
    </row>
    <row r="67" customFormat="false" ht="15" hidden="false" customHeight="false" outlineLevel="0" collapsed="false">
      <c r="A67" s="0" t="s">
        <v>383</v>
      </c>
      <c r="B67" s="0" t="s">
        <v>384</v>
      </c>
      <c r="C67" s="0" t="s">
        <v>516</v>
      </c>
      <c r="D67" s="0" t="n">
        <v>1000</v>
      </c>
      <c r="E67" s="0" t="n">
        <v>2924</v>
      </c>
      <c r="F67" s="13" t="n">
        <f aca="false">IF(ISNUMBER(E67),D67*E67,"")</f>
        <v>2924000</v>
      </c>
      <c r="G67" s="14" t="n">
        <f aca="false">IF(ISNUMBER(F67),F67/100000,"")</f>
        <v>29.24</v>
      </c>
    </row>
    <row r="68" customFormat="false" ht="15" hidden="false" customHeight="false" outlineLevel="0" collapsed="false">
      <c r="A68" s="0" t="s">
        <v>386</v>
      </c>
      <c r="B68" s="0" t="s">
        <v>387</v>
      </c>
      <c r="C68" s="0" t="s">
        <v>516</v>
      </c>
      <c r="D68" s="0" t="n">
        <v>8000</v>
      </c>
      <c r="E68" s="0" t="n">
        <v>83.8</v>
      </c>
      <c r="F68" s="13" t="n">
        <f aca="false">IF(ISNUMBER(E68),D68*E68,"")</f>
        <v>670400</v>
      </c>
      <c r="G68" s="14" t="n">
        <f aca="false">IF(ISNUMBER(F68),F68/100000,"")</f>
        <v>6.704</v>
      </c>
    </row>
    <row r="69" customFormat="false" ht="15" hidden="false" customHeight="false" outlineLevel="0" collapsed="false">
      <c r="A69" s="0" t="s">
        <v>396</v>
      </c>
      <c r="B69" s="0" t="s">
        <v>397</v>
      </c>
      <c r="C69" s="0" t="s">
        <v>517</v>
      </c>
      <c r="D69" s="0" t="n">
        <v>4500</v>
      </c>
      <c r="E69" s="0" t="n">
        <v>372.35</v>
      </c>
      <c r="F69" s="13" t="n">
        <f aca="false">IF(ISNUMBER(E69),D69*E69,"")</f>
        <v>1675575</v>
      </c>
      <c r="G69" s="14" t="n">
        <f aca="false">IF(ISNUMBER(F69),F69/100000,"")</f>
        <v>16.75575</v>
      </c>
    </row>
    <row r="70" customFormat="false" ht="15" hidden="false" customHeight="false" outlineLevel="0" collapsed="false">
      <c r="A70" s="0" t="s">
        <v>396</v>
      </c>
      <c r="B70" s="0" t="s">
        <v>397</v>
      </c>
      <c r="C70" s="0" t="s">
        <v>519</v>
      </c>
      <c r="D70" s="0" t="n">
        <v>4000</v>
      </c>
      <c r="E70" s="0" t="n">
        <v>372.35</v>
      </c>
      <c r="F70" s="13" t="n">
        <f aca="false">IF(ISNUMBER(E70),D70*E70,"")</f>
        <v>1489400</v>
      </c>
      <c r="G70" s="14" t="n">
        <f aca="false">IF(ISNUMBER(F70),F70/100000,"")</f>
        <v>14.894</v>
      </c>
    </row>
    <row r="71" customFormat="false" ht="15" hidden="false" customHeight="false" outlineLevel="0" collapsed="false">
      <c r="A71" s="0" t="s">
        <v>396</v>
      </c>
      <c r="B71" s="0" t="s">
        <v>397</v>
      </c>
      <c r="C71" s="0" t="s">
        <v>516</v>
      </c>
      <c r="D71" s="0" t="n">
        <v>3500</v>
      </c>
      <c r="E71" s="0" t="n">
        <v>372.35</v>
      </c>
      <c r="F71" s="13" t="n">
        <f aca="false">IF(ISNUMBER(E71),D71*E71,"")</f>
        <v>1303225</v>
      </c>
      <c r="G71" s="14" t="n">
        <f aca="false">IF(ISNUMBER(F71),F71/100000,"")</f>
        <v>13.03225</v>
      </c>
    </row>
    <row r="72" customFormat="false" ht="15" hidden="false" customHeight="false" outlineLevel="0" collapsed="false">
      <c r="A72" s="0" t="s">
        <v>400</v>
      </c>
      <c r="B72" s="0" t="s">
        <v>401</v>
      </c>
      <c r="C72" s="0" t="s">
        <v>520</v>
      </c>
      <c r="D72" s="0" t="n">
        <v>400</v>
      </c>
      <c r="E72" s="0" t="n">
        <v>1280</v>
      </c>
      <c r="F72" s="13" t="n">
        <f aca="false">IF(ISNUMBER(E72),D72*E72,"")</f>
        <v>512000</v>
      </c>
      <c r="G72" s="14" t="n">
        <f aca="false">IF(ISNUMBER(F72),F72/100000,"")</f>
        <v>5.12</v>
      </c>
    </row>
    <row r="73" customFormat="false" ht="15" hidden="false" customHeight="false" outlineLevel="0" collapsed="false">
      <c r="A73" s="0" t="s">
        <v>400</v>
      </c>
      <c r="B73" s="0" t="s">
        <v>401</v>
      </c>
      <c r="C73" s="0" t="s">
        <v>519</v>
      </c>
      <c r="D73" s="0" t="n">
        <v>100</v>
      </c>
      <c r="E73" s="0" t="n">
        <v>1280</v>
      </c>
      <c r="F73" s="13" t="n">
        <f aca="false">IF(ISNUMBER(E73),D73*E73,"")</f>
        <v>128000</v>
      </c>
      <c r="G73" s="14" t="n">
        <f aca="false">IF(ISNUMBER(F73),F73/100000,"")</f>
        <v>1.28</v>
      </c>
    </row>
    <row r="74" customFormat="false" ht="15" hidden="false" customHeight="false" outlineLevel="0" collapsed="false">
      <c r="A74" s="0" t="s">
        <v>408</v>
      </c>
      <c r="B74" s="0" t="s">
        <v>409</v>
      </c>
      <c r="C74" s="0" t="s">
        <v>517</v>
      </c>
      <c r="D74" s="0" t="n">
        <v>5000</v>
      </c>
      <c r="E74" s="0" t="n">
        <v>264</v>
      </c>
      <c r="F74" s="13" t="n">
        <f aca="false">IF(ISNUMBER(E74),D74*E74,"")</f>
        <v>1320000</v>
      </c>
      <c r="G74" s="14" t="n">
        <f aca="false">IF(ISNUMBER(F74),F74/100000,"")</f>
        <v>13.2</v>
      </c>
    </row>
    <row r="75" customFormat="false" ht="15" hidden="false" customHeight="false" outlineLevel="0" collapsed="false">
      <c r="A75" s="0" t="s">
        <v>408</v>
      </c>
      <c r="B75" s="0" t="s">
        <v>409</v>
      </c>
      <c r="C75" s="0" t="s">
        <v>516</v>
      </c>
      <c r="D75" s="0" t="n">
        <v>2000</v>
      </c>
      <c r="E75" s="0" t="n">
        <v>264</v>
      </c>
      <c r="F75" s="13" t="n">
        <f aca="false">IF(ISNUMBER(E75),D75*E75,"")</f>
        <v>528000</v>
      </c>
      <c r="G75" s="14" t="n">
        <f aca="false">IF(ISNUMBER(F75),F75/100000,"")</f>
        <v>5.28</v>
      </c>
    </row>
    <row r="76" customFormat="false" ht="15" hidden="false" customHeight="false" outlineLevel="0" collapsed="false">
      <c r="A76" s="0" t="s">
        <v>418</v>
      </c>
      <c r="B76" s="0" t="s">
        <v>419</v>
      </c>
      <c r="C76" s="0" t="s">
        <v>520</v>
      </c>
      <c r="D76" s="0" t="n">
        <v>1000</v>
      </c>
      <c r="E76" s="0" t="n">
        <v>775</v>
      </c>
      <c r="F76" s="13" t="n">
        <f aca="false">IF(ISNUMBER(E76),D76*E76,"")</f>
        <v>775000</v>
      </c>
      <c r="G76" s="14" t="n">
        <f aca="false">IF(ISNUMBER(F76),F76/100000,"")</f>
        <v>7.75</v>
      </c>
    </row>
    <row r="77" customFormat="false" ht="15" hidden="false" customHeight="false" outlineLevel="0" collapsed="false">
      <c r="A77" s="0" t="s">
        <v>418</v>
      </c>
      <c r="B77" s="0" t="s">
        <v>419</v>
      </c>
      <c r="C77" s="0" t="s">
        <v>518</v>
      </c>
      <c r="D77" s="0" t="n">
        <v>150</v>
      </c>
      <c r="E77" s="0" t="n">
        <v>775</v>
      </c>
      <c r="F77" s="13" t="n">
        <f aca="false">IF(ISNUMBER(E77),D77*E77,"")</f>
        <v>116250</v>
      </c>
      <c r="G77" s="14" t="n">
        <f aca="false">IF(ISNUMBER(F77),F77/100000,"")</f>
        <v>1.1625</v>
      </c>
    </row>
    <row r="78" customFormat="false" ht="15" hidden="false" customHeight="false" outlineLevel="0" collapsed="false">
      <c r="A78" s="0" t="s">
        <v>418</v>
      </c>
      <c r="B78" s="0" t="s">
        <v>419</v>
      </c>
      <c r="C78" s="0" t="s">
        <v>517</v>
      </c>
      <c r="D78" s="0" t="n">
        <v>500</v>
      </c>
      <c r="E78" s="0" t="n">
        <v>775</v>
      </c>
      <c r="F78" s="13" t="n">
        <f aca="false">IF(ISNUMBER(E78),D78*E78,"")</f>
        <v>387500</v>
      </c>
      <c r="G78" s="14" t="n">
        <f aca="false">IF(ISNUMBER(F78),F78/100000,"")</f>
        <v>3.875</v>
      </c>
    </row>
    <row r="79" customFormat="false" ht="15" hidden="false" customHeight="false" outlineLevel="0" collapsed="false">
      <c r="A79" s="0" t="s">
        <v>422</v>
      </c>
      <c r="B79" s="0" t="s">
        <v>423</v>
      </c>
      <c r="C79" s="0" t="s">
        <v>518</v>
      </c>
      <c r="D79" s="0" t="n">
        <v>500</v>
      </c>
      <c r="E79" s="0" t="n">
        <v>1048</v>
      </c>
      <c r="F79" s="13" t="n">
        <f aca="false">IF(ISNUMBER(E79),D79*E79,"")</f>
        <v>524000</v>
      </c>
      <c r="G79" s="14" t="n">
        <f aca="false">IF(ISNUMBER(F79),F79/100000,"")</f>
        <v>5.24</v>
      </c>
    </row>
    <row r="80" customFormat="false" ht="15" hidden="false" customHeight="false" outlineLevel="0" collapsed="false">
      <c r="A80" s="0" t="s">
        <v>425</v>
      </c>
      <c r="B80" s="0" t="s">
        <v>426</v>
      </c>
      <c r="C80" s="0" t="s">
        <v>518</v>
      </c>
      <c r="D80" s="0" t="n">
        <v>1500</v>
      </c>
      <c r="E80" s="0" t="n">
        <v>1015</v>
      </c>
      <c r="F80" s="13" t="n">
        <f aca="false">IF(ISNUMBER(E80),D80*E80,"")</f>
        <v>1522500</v>
      </c>
      <c r="G80" s="14" t="n">
        <f aca="false">IF(ISNUMBER(F80),F80/100000,"")</f>
        <v>15.225</v>
      </c>
    </row>
    <row r="81" customFormat="false" ht="15" hidden="false" customHeight="false" outlineLevel="0" collapsed="false">
      <c r="A81" s="0" t="s">
        <v>425</v>
      </c>
      <c r="B81" s="0" t="s">
        <v>426</v>
      </c>
      <c r="C81" s="0" t="s">
        <v>517</v>
      </c>
      <c r="D81" s="0" t="n">
        <v>100</v>
      </c>
      <c r="E81" s="0" t="n">
        <v>1015</v>
      </c>
      <c r="F81" s="13" t="n">
        <f aca="false">IF(ISNUMBER(E81),D81*E81,"")</f>
        <v>101500</v>
      </c>
      <c r="G81" s="14" t="n">
        <f aca="false">IF(ISNUMBER(F81),F81/100000,"")</f>
        <v>1.015</v>
      </c>
    </row>
    <row r="82" customFormat="false" ht="15" hidden="false" customHeight="false" outlineLevel="0" collapsed="false">
      <c r="A82" s="0" t="s">
        <v>425</v>
      </c>
      <c r="B82" s="0" t="s">
        <v>426</v>
      </c>
      <c r="C82" s="0" t="s">
        <v>516</v>
      </c>
      <c r="D82" s="0" t="n">
        <v>500</v>
      </c>
      <c r="E82" s="0" t="n">
        <v>1015</v>
      </c>
      <c r="F82" s="13" t="n">
        <f aca="false">IF(ISNUMBER(E82),D82*E82,"")</f>
        <v>507500</v>
      </c>
      <c r="G82" s="14" t="n">
        <f aca="false">IF(ISNUMBER(F82),F82/100000,"")</f>
        <v>5.075</v>
      </c>
    </row>
    <row r="83" customFormat="false" ht="15" hidden="false" customHeight="false" outlineLevel="0" collapsed="false">
      <c r="A83" s="0" t="s">
        <v>433</v>
      </c>
      <c r="B83" s="0" t="s">
        <v>434</v>
      </c>
      <c r="C83" s="0" t="s">
        <v>520</v>
      </c>
      <c r="D83" s="0" t="n">
        <v>400</v>
      </c>
      <c r="E83" s="0" t="n">
        <v>1918</v>
      </c>
      <c r="F83" s="13" t="n">
        <f aca="false">IF(ISNUMBER(E83),D83*E83,"")</f>
        <v>767200</v>
      </c>
      <c r="G83" s="14" t="n">
        <f aca="false">IF(ISNUMBER(F83),F83/100000,"")</f>
        <v>7.672</v>
      </c>
    </row>
    <row r="84" customFormat="false" ht="15" hidden="false" customHeight="false" outlineLevel="0" collapsed="false">
      <c r="A84" s="0" t="s">
        <v>433</v>
      </c>
      <c r="B84" s="0" t="s">
        <v>434</v>
      </c>
      <c r="C84" s="0" t="s">
        <v>517</v>
      </c>
      <c r="D84" s="0" t="n">
        <v>400</v>
      </c>
      <c r="E84" s="0" t="n">
        <v>1918</v>
      </c>
      <c r="F84" s="13" t="n">
        <f aca="false">IF(ISNUMBER(E84),D84*E84,"")</f>
        <v>767200</v>
      </c>
      <c r="G84" s="14" t="n">
        <f aca="false">IF(ISNUMBER(F84),F84/100000,"")</f>
        <v>7.672</v>
      </c>
    </row>
    <row r="85" customFormat="false" ht="15" hidden="false" customHeight="false" outlineLevel="0" collapsed="false">
      <c r="A85" s="0" t="s">
        <v>437</v>
      </c>
      <c r="B85" s="0" t="s">
        <v>438</v>
      </c>
      <c r="C85" s="0" t="s">
        <v>517</v>
      </c>
      <c r="D85" s="0" t="n">
        <v>500</v>
      </c>
      <c r="E85" s="0" t="n">
        <v>390.8</v>
      </c>
      <c r="F85" s="13" t="n">
        <f aca="false">IF(ISNUMBER(E85),D85*E85,"")</f>
        <v>195400</v>
      </c>
      <c r="G85" s="14" t="n">
        <f aca="false">IF(ISNUMBER(F85),F85/100000,"")</f>
        <v>1.954</v>
      </c>
    </row>
    <row r="86" customFormat="false" ht="15" hidden="false" customHeight="false" outlineLevel="0" collapsed="false">
      <c r="A86" s="0" t="s">
        <v>443</v>
      </c>
      <c r="B86" s="0" t="s">
        <v>32</v>
      </c>
      <c r="C86" s="0" t="s">
        <v>516</v>
      </c>
      <c r="D86" s="0" t="n">
        <v>200</v>
      </c>
      <c r="E86" s="0" t="n">
        <v>674</v>
      </c>
      <c r="F86" s="13" t="n">
        <f aca="false">IF(ISNUMBER(E86),D86*E86,"")</f>
        <v>134800</v>
      </c>
      <c r="G86" s="14" t="n">
        <f aca="false">IF(ISNUMBER(F86),F86/100000,"")</f>
        <v>1.348</v>
      </c>
    </row>
    <row r="87" customFormat="false" ht="15" hidden="false" customHeight="false" outlineLevel="0" collapsed="false">
      <c r="A87" s="0" t="s">
        <v>452</v>
      </c>
      <c r="B87" s="0" t="s">
        <v>453</v>
      </c>
      <c r="C87" s="0" t="s">
        <v>516</v>
      </c>
      <c r="D87" s="0" t="n">
        <v>50</v>
      </c>
      <c r="E87" s="0" t="n">
        <v>10200</v>
      </c>
      <c r="F87" s="13" t="n">
        <f aca="false">IF(ISNUMBER(E87),D87*E87,"")</f>
        <v>510000</v>
      </c>
      <c r="G87" s="14" t="n">
        <f aca="false">IF(ISNUMBER(F87),F87/100000,"")</f>
        <v>5.1</v>
      </c>
    </row>
    <row r="88" customFormat="false" ht="15" hidden="false" customHeight="false" outlineLevel="0" collapsed="false">
      <c r="A88" s="0" t="s">
        <v>457</v>
      </c>
      <c r="B88" s="0" t="s">
        <v>458</v>
      </c>
      <c r="C88" s="0" t="s">
        <v>519</v>
      </c>
      <c r="D88" s="0" t="n">
        <v>1000</v>
      </c>
      <c r="E88" s="0" t="n">
        <v>1026</v>
      </c>
      <c r="F88" s="13" t="n">
        <f aca="false">IF(ISNUMBER(E88),D88*E88,"")</f>
        <v>1026000</v>
      </c>
      <c r="G88" s="14" t="n">
        <f aca="false">IF(ISNUMBER(F88),F88/100000,"")</f>
        <v>10.26</v>
      </c>
    </row>
    <row r="89" customFormat="false" ht="15" hidden="false" customHeight="false" outlineLevel="0" collapsed="false">
      <c r="A89" s="0" t="s">
        <v>462</v>
      </c>
      <c r="B89" s="0" t="s">
        <v>463</v>
      </c>
      <c r="C89" s="0" t="s">
        <v>520</v>
      </c>
      <c r="D89" s="0" t="n">
        <v>1200</v>
      </c>
      <c r="E89" s="0" t="n">
        <v>2001</v>
      </c>
      <c r="F89" s="13" t="n">
        <f aca="false">IF(ISNUMBER(E89),D89*E89,"")</f>
        <v>2401200</v>
      </c>
      <c r="G89" s="14" t="n">
        <f aca="false">IF(ISNUMBER(F89),F89/100000,"")</f>
        <v>24.012</v>
      </c>
    </row>
    <row r="90" customFormat="false" ht="15" hidden="false" customHeight="false" outlineLevel="0" collapsed="false">
      <c r="A90" s="0" t="s">
        <v>462</v>
      </c>
      <c r="B90" s="0" t="s">
        <v>463</v>
      </c>
      <c r="C90" s="0" t="s">
        <v>518</v>
      </c>
      <c r="D90" s="0" t="n">
        <v>500</v>
      </c>
      <c r="E90" s="0" t="n">
        <v>2001</v>
      </c>
      <c r="F90" s="13" t="n">
        <f aca="false">IF(ISNUMBER(E90),D90*E90,"")</f>
        <v>1000500</v>
      </c>
      <c r="G90" s="14" t="n">
        <f aca="false">IF(ISNUMBER(F90),F90/100000,"")</f>
        <v>10.005</v>
      </c>
    </row>
    <row r="91" customFormat="false" ht="15" hidden="false" customHeight="false" outlineLevel="0" collapsed="false">
      <c r="A91" s="0" t="s">
        <v>462</v>
      </c>
      <c r="B91" s="0" t="s">
        <v>463</v>
      </c>
      <c r="C91" s="0" t="s">
        <v>517</v>
      </c>
      <c r="D91" s="0" t="n">
        <v>750</v>
      </c>
      <c r="E91" s="0" t="n">
        <v>2001</v>
      </c>
      <c r="F91" s="13" t="n">
        <f aca="false">IF(ISNUMBER(E91),D91*E91,"")</f>
        <v>1500750</v>
      </c>
      <c r="G91" s="14" t="n">
        <f aca="false">IF(ISNUMBER(F91),F91/100000,"")</f>
        <v>15.0075</v>
      </c>
    </row>
    <row r="92" customFormat="false" ht="15" hidden="false" customHeight="false" outlineLevel="0" collapsed="false">
      <c r="A92" s="0" t="s">
        <v>465</v>
      </c>
      <c r="B92" s="0" t="s">
        <v>466</v>
      </c>
      <c r="C92" s="0" t="s">
        <v>520</v>
      </c>
      <c r="D92" s="0" t="n">
        <v>500</v>
      </c>
      <c r="E92" s="0" t="n">
        <v>4093.8</v>
      </c>
      <c r="F92" s="13" t="n">
        <f aca="false">IF(ISNUMBER(E92),D92*E92,"")</f>
        <v>2046900</v>
      </c>
      <c r="G92" s="14" t="n">
        <f aca="false">IF(ISNUMBER(F92),F92/100000,"")</f>
        <v>20.469</v>
      </c>
    </row>
    <row r="93" customFormat="false" ht="15" hidden="false" customHeight="false" outlineLevel="0" collapsed="false">
      <c r="A93" s="0" t="s">
        <v>465</v>
      </c>
      <c r="B93" s="0" t="s">
        <v>466</v>
      </c>
      <c r="C93" s="0" t="s">
        <v>518</v>
      </c>
      <c r="D93" s="0" t="n">
        <v>200</v>
      </c>
      <c r="E93" s="0" t="n">
        <v>4093.8</v>
      </c>
      <c r="F93" s="13" t="n">
        <f aca="false">IF(ISNUMBER(E93),D93*E93,"")</f>
        <v>818760</v>
      </c>
      <c r="G93" s="14" t="n">
        <f aca="false">IF(ISNUMBER(F93),F93/100000,"")</f>
        <v>8.1876</v>
      </c>
    </row>
    <row r="94" customFormat="false" ht="15" hidden="false" customHeight="false" outlineLevel="0" collapsed="false">
      <c r="A94" s="0" t="s">
        <v>465</v>
      </c>
      <c r="B94" s="0" t="s">
        <v>466</v>
      </c>
      <c r="C94" s="0" t="s">
        <v>519</v>
      </c>
      <c r="D94" s="0" t="n">
        <v>300</v>
      </c>
      <c r="E94" s="0" t="n">
        <v>4093.8</v>
      </c>
      <c r="F94" s="13" t="n">
        <f aca="false">IF(ISNUMBER(E94),D94*E94,"")</f>
        <v>1228140</v>
      </c>
      <c r="G94" s="14" t="n">
        <f aca="false">IF(ISNUMBER(F94),F94/100000,"")</f>
        <v>12.2814</v>
      </c>
    </row>
    <row r="95" customFormat="false" ht="15" hidden="false" customHeight="false" outlineLevel="0" collapsed="false">
      <c r="A95" s="0" t="s">
        <v>472</v>
      </c>
      <c r="B95" s="0" t="s">
        <v>473</v>
      </c>
      <c r="C95" s="0" t="s">
        <v>520</v>
      </c>
      <c r="D95" s="0" t="n">
        <v>1000</v>
      </c>
      <c r="E95" s="0" t="n">
        <v>433</v>
      </c>
      <c r="F95" s="13" t="n">
        <f aca="false">IF(ISNUMBER(E95),D95*E95,"")</f>
        <v>433000</v>
      </c>
      <c r="G95" s="14" t="n">
        <f aca="false">IF(ISNUMBER(F95),F95/100000,"")</f>
        <v>4.33</v>
      </c>
    </row>
    <row r="96" customFormat="false" ht="15" hidden="false" customHeight="false" outlineLevel="0" collapsed="false">
      <c r="A96" s="0" t="s">
        <v>472</v>
      </c>
      <c r="B96" s="0" t="s">
        <v>473</v>
      </c>
      <c r="C96" s="0" t="s">
        <v>518</v>
      </c>
      <c r="D96" s="0" t="n">
        <v>1000</v>
      </c>
      <c r="E96" s="0" t="n">
        <v>433</v>
      </c>
      <c r="F96" s="13" t="n">
        <f aca="false">IF(ISNUMBER(E96),D96*E96,"")</f>
        <v>433000</v>
      </c>
      <c r="G96" s="14" t="n">
        <f aca="false">IF(ISNUMBER(F96),F96/100000,"")</f>
        <v>4.33</v>
      </c>
    </row>
    <row r="97" customFormat="false" ht="15" hidden="false" customHeight="false" outlineLevel="0" collapsed="false">
      <c r="A97" s="0" t="s">
        <v>472</v>
      </c>
      <c r="B97" s="0" t="s">
        <v>473</v>
      </c>
      <c r="C97" s="0" t="s">
        <v>516</v>
      </c>
      <c r="D97" s="0" t="n">
        <v>500</v>
      </c>
      <c r="E97" s="0" t="n">
        <v>433</v>
      </c>
      <c r="F97" s="13" t="n">
        <f aca="false">IF(ISNUMBER(E97),D97*E97,"")</f>
        <v>216500</v>
      </c>
      <c r="G97" s="14" t="n">
        <f aca="false">IF(ISNUMBER(F97),F97/100000,"")</f>
        <v>2.165</v>
      </c>
    </row>
    <row r="98" customFormat="false" ht="15" hidden="false" customHeight="false" outlineLevel="0" collapsed="false">
      <c r="A98" s="0" t="s">
        <v>475</v>
      </c>
      <c r="B98" s="0" t="s">
        <v>476</v>
      </c>
      <c r="C98" s="0" t="s">
        <v>520</v>
      </c>
      <c r="D98" s="0" t="n">
        <v>2000</v>
      </c>
      <c r="E98" s="0" t="n">
        <v>1009</v>
      </c>
      <c r="F98" s="13" t="n">
        <f aca="false">IF(ISNUMBER(E98),D98*E98,"")</f>
        <v>2018000</v>
      </c>
      <c r="G98" s="14" t="n">
        <f aca="false">IF(ISNUMBER(F98),F98/100000,"")</f>
        <v>20.18</v>
      </c>
    </row>
    <row r="99" customFormat="false" ht="15" hidden="false" customHeight="false" outlineLevel="0" collapsed="false">
      <c r="A99" s="0" t="s">
        <v>478</v>
      </c>
      <c r="B99" s="0" t="s">
        <v>479</v>
      </c>
      <c r="C99" s="0" t="s">
        <v>519</v>
      </c>
      <c r="D99" s="0" t="n">
        <v>300</v>
      </c>
      <c r="E99" s="0" t="n">
        <v>1935</v>
      </c>
      <c r="F99" s="13" t="n">
        <f aca="false">IF(ISNUMBER(E99),D99*E99,"")</f>
        <v>580500</v>
      </c>
      <c r="G99" s="14" t="n">
        <f aca="false">IF(ISNUMBER(F99),F99/100000,"")</f>
        <v>5.805</v>
      </c>
    </row>
    <row r="100" customFormat="false" ht="15" hidden="false" customHeight="false" outlineLevel="0" collapsed="false">
      <c r="A100" s="0" t="s">
        <v>478</v>
      </c>
      <c r="B100" s="0" t="s">
        <v>479</v>
      </c>
      <c r="C100" s="0" t="s">
        <v>516</v>
      </c>
      <c r="D100" s="0" t="n">
        <v>100</v>
      </c>
      <c r="E100" s="0" t="n">
        <v>1935</v>
      </c>
      <c r="F100" s="13" t="n">
        <f aca="false">IF(ISNUMBER(E100),D100*E100,"")</f>
        <v>193500</v>
      </c>
      <c r="G100" s="14" t="n">
        <f aca="false">IF(ISNUMBER(F100),F100/100000,"")</f>
        <v>1.935</v>
      </c>
    </row>
    <row r="101" customFormat="false" ht="15" hidden="false" customHeight="false" outlineLevel="0" collapsed="false">
      <c r="A101" s="0" t="s">
        <v>481</v>
      </c>
      <c r="B101" s="0" t="s">
        <v>482</v>
      </c>
      <c r="C101" s="0" t="s">
        <v>516</v>
      </c>
      <c r="D101" s="0" t="n">
        <v>1000</v>
      </c>
      <c r="E101" s="0" t="n">
        <v>1025.7</v>
      </c>
      <c r="F101" s="13" t="n">
        <f aca="false">IF(ISNUMBER(E101),D101*E101,"")</f>
        <v>1025700</v>
      </c>
      <c r="G101" s="14" t="n">
        <f aca="false">IF(ISNUMBER(F101),F101/100000,"")</f>
        <v>10.257</v>
      </c>
    </row>
    <row r="103" customFormat="false" ht="15" hidden="false" customHeight="false" outlineLevel="0" collapsed="false">
      <c r="C103" s="1" t="s">
        <v>547</v>
      </c>
      <c r="F103" s="13" t="n">
        <f aca="false">SUM(F2:F101)</f>
        <v>61489662.3</v>
      </c>
      <c r="G103" s="14" t="n">
        <f aca="false">SUM(G2:G101)</f>
        <v>614.896623</v>
      </c>
    </row>
  </sheetData>
  <autoFilter ref="A1:G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" t="s">
        <v>548</v>
      </c>
    </row>
    <row r="3" customFormat="false" ht="15" hidden="false" customHeight="false" outlineLevel="0" collapsed="false">
      <c r="A3" s="2" t="s">
        <v>549</v>
      </c>
      <c r="B3" s="2" t="s">
        <v>550</v>
      </c>
      <c r="C3" s="2" t="s">
        <v>4</v>
      </c>
      <c r="D3" s="2" t="s">
        <v>533</v>
      </c>
    </row>
    <row r="4" customFormat="false" ht="15" hidden="false" customHeight="false" outlineLevel="0" collapsed="false">
      <c r="A4" s="0" t="s">
        <v>551</v>
      </c>
      <c r="B4" s="0" t="n">
        <v>22520</v>
      </c>
      <c r="C4" s="15" t="n">
        <v>0.013</v>
      </c>
    </row>
    <row r="5" customFormat="false" ht="15" hidden="false" customHeight="false" outlineLevel="0" collapsed="false">
      <c r="A5" s="0" t="s">
        <v>552</v>
      </c>
      <c r="B5" s="0" t="n">
        <v>55257</v>
      </c>
      <c r="C5" s="15" t="n">
        <v>0.0136</v>
      </c>
    </row>
    <row r="6" customFormat="false" ht="15" hidden="false" customHeight="false" outlineLevel="0" collapsed="false">
      <c r="A6" s="0" t="s">
        <v>553</v>
      </c>
      <c r="B6" s="0" t="n">
        <v>72472</v>
      </c>
      <c r="C6" s="15" t="n">
        <v>0.0123</v>
      </c>
      <c r="D6" s="4" t="s">
        <v>554</v>
      </c>
    </row>
    <row r="7" customFormat="false" ht="15" hidden="false" customHeight="false" outlineLevel="0" collapsed="false">
      <c r="A7" s="0" t="s">
        <v>555</v>
      </c>
      <c r="B7" s="0" t="n">
        <v>14.38</v>
      </c>
      <c r="C7" s="15" t="n">
        <v>-0.059</v>
      </c>
      <c r="D7" s="4" t="s">
        <v>556</v>
      </c>
    </row>
    <row r="8" customFormat="false" ht="15" hidden="false" customHeight="false" outlineLevel="0" collapsed="false">
      <c r="A8" s="0" t="s">
        <v>557</v>
      </c>
      <c r="B8" s="0" t="n">
        <v>96.78</v>
      </c>
      <c r="C8" s="15" t="n">
        <v>0</v>
      </c>
    </row>
    <row r="9" customFormat="false" ht="15" hidden="false" customHeight="false" outlineLevel="0" collapsed="false">
      <c r="A9" s="0" t="s">
        <v>558</v>
      </c>
      <c r="B9" s="0" t="n">
        <v>7811.5</v>
      </c>
      <c r="C9" s="15" t="n">
        <v>0.0059</v>
      </c>
      <c r="D9" s="4" t="s">
        <v>559</v>
      </c>
    </row>
    <row r="10" customFormat="false" ht="15" hidden="false" customHeight="false" outlineLevel="0" collapsed="false">
      <c r="A10" s="0" t="s">
        <v>560</v>
      </c>
      <c r="B10" s="0" t="n">
        <v>27366</v>
      </c>
      <c r="C10" s="15" t="n">
        <v>0.0064</v>
      </c>
    </row>
    <row r="11" customFormat="false" ht="15" hidden="false" customHeight="false" outlineLevel="0" collapsed="false">
      <c r="A11" s="0" t="s">
        <v>561</v>
      </c>
      <c r="B11" s="0" t="n">
        <v>51655</v>
      </c>
      <c r="C11" s="15" t="n">
        <v>0.0083</v>
      </c>
    </row>
    <row r="12" customFormat="false" ht="15" hidden="false" customHeight="false" outlineLevel="0" collapsed="false">
      <c r="A12" s="0" t="s">
        <v>562</v>
      </c>
      <c r="B12" s="0" t="n">
        <v>10552</v>
      </c>
      <c r="C12" s="15" t="n">
        <v>0.0106</v>
      </c>
    </row>
    <row r="13" customFormat="false" ht="15" hidden="false" customHeight="false" outlineLevel="0" collapsed="false">
      <c r="A13" s="0" t="s">
        <v>563</v>
      </c>
      <c r="B13" s="0" t="n">
        <v>25087</v>
      </c>
      <c r="C13" s="15" t="n">
        <v>0.0113</v>
      </c>
    </row>
    <row r="14" customFormat="false" ht="15" hidden="false" customHeight="false" outlineLevel="0" collapsed="false">
      <c r="A14" s="0" t="s">
        <v>564</v>
      </c>
      <c r="B14" s="0" t="n">
        <v>24413</v>
      </c>
      <c r="C14" s="15" t="n">
        <v>0.0083</v>
      </c>
    </row>
    <row r="15" customFormat="false" ht="15" hidden="false" customHeight="false" outlineLevel="0" collapsed="false">
      <c r="A15" s="0" t="s">
        <v>565</v>
      </c>
      <c r="B15" s="0" t="n">
        <v>69031</v>
      </c>
      <c r="C15" s="15" t="n">
        <v>-0.0002</v>
      </c>
    </row>
    <row r="16" customFormat="false" ht="15" hidden="false" customHeight="false" outlineLevel="0" collapsed="false">
      <c r="A16" s="0" t="s">
        <v>566</v>
      </c>
      <c r="B16" s="0" t="n">
        <v>102.97</v>
      </c>
      <c r="C16" s="15" t="n">
        <v>-0.0167</v>
      </c>
      <c r="D16" s="4" t="s">
        <v>567</v>
      </c>
    </row>
    <row r="17" customFormat="false" ht="15" hidden="false" customHeight="false" outlineLevel="0" collapsed="false">
      <c r="A17" s="0" t="s">
        <v>568</v>
      </c>
      <c r="B17" s="0" t="n">
        <v>4237</v>
      </c>
      <c r="C17" s="15" t="n">
        <v>0.0049</v>
      </c>
    </row>
    <row r="18" customFormat="false" ht="15" hidden="false" customHeight="false" outlineLevel="0" collapsed="false">
      <c r="A18" s="0" t="s">
        <v>569</v>
      </c>
      <c r="B18" s="0" t="n">
        <v>6.74</v>
      </c>
      <c r="C18" s="15" t="n">
        <v>0.0078</v>
      </c>
      <c r="D18" s="4" t="s">
        <v>570</v>
      </c>
    </row>
    <row r="19" customFormat="false" ht="15" hidden="false" customHeight="false" outlineLevel="0" collapsed="false">
      <c r="A19" s="0" t="s">
        <v>571</v>
      </c>
      <c r="B19" s="0" t="n">
        <v>61.48</v>
      </c>
      <c r="C19" s="15" t="n">
        <v>0.0071</v>
      </c>
    </row>
    <row r="20" customFormat="false" ht="15" hidden="false" customHeight="false" outlineLevel="0" collapsed="false">
      <c r="A20" s="0" t="s">
        <v>572</v>
      </c>
      <c r="B20" s="0" t="n">
        <v>102.13</v>
      </c>
      <c r="C20" s="15" t="n">
        <v>-0.0008</v>
      </c>
    </row>
    <row r="21" customFormat="false" ht="15" hidden="false" customHeight="false" outlineLevel="0" collapsed="false">
      <c r="A21" s="0" t="s">
        <v>573</v>
      </c>
      <c r="B21" s="0" t="n">
        <v>5.24</v>
      </c>
      <c r="C21" s="15" t="n">
        <v>0.0025</v>
      </c>
      <c r="D21" s="4" t="s">
        <v>574</v>
      </c>
    </row>
    <row r="24" customFormat="false" ht="36" hidden="false" customHeight="true" outlineLevel="0" collapsed="false">
      <c r="A24" s="8" t="s">
        <v>575</v>
      </c>
      <c r="B24" s="8"/>
      <c r="C24" s="8"/>
      <c r="D24" s="8"/>
    </row>
  </sheetData>
  <mergeCells count="1"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2026-10-12T03:40:45Z</dcterms:created>
  <dc:creator>openpyxl</dc:creator>
  <dc:description/>
  <dc:language>en-US</dc:language>
  <cp:lastModifiedBy/>
  <dcterms:modified xsi:type="dcterms:W3CDTF">2026-10-12T03:40:45Z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