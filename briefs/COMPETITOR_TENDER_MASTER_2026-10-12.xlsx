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Master" sheetId="2" state="visible" r:id="rId2"/>
    <sheet name="Settings" sheetId="3" state="visible" r:id="rId3"/>
    <sheet name="FOIS 145A" sheetId="4" state="visible" r:id="rId4"/>
    <sheet name="Competitors" sheetId="5" state="visible" r:id="rId5"/>
  </sheets>
  <definedNames>
    <definedName name="_xlnm._FilterDatabase" localSheetId="1" hidden="1">'Master'!$A$1:$X$316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3" fontId="0" fillId="0" borderId="0" pivotButton="0" quotePrefix="0" xfId="0"/>
    <xf numFmtId="0" fontId="3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Competitor tender master: road and rail cost</t>
        </is>
      </c>
    </row>
    <row r="2">
      <c r="A2" s="2" t="inlineStr">
        <is>
          <t>Source: Tender247 Missed Opportunities export (11 Oct 2026) via the by-distance workbook. Every row is a closed tender; winner, rivals, bidders and contract value are from Tender247.</t>
        </is>
      </c>
    </row>
    <row r="3">
      <c r="A3" s="2" t="inlineStr">
        <is>
          <t>DISTANCE is straight-line km from Raigarh to the tender's district headquarters [UNVERIFIED, approximate coordinates]. Road and rail km are straight-line x the factors in Settings. These are estimates for banding, not route distances.</t>
        </is>
      </c>
    </row>
    <row r="4">
      <c r="A4" s="2" t="inlineStr">
        <is>
          <t>RAIL cost = FOIS class 145A train-load BASE tariff (official, read 2026-10-12), plus GST. It excludes busy-season surcharge, siding and terminal charges, rebates. Valid only where a siding exists at both ends.</t>
        </is>
      </c>
    </row>
    <row r="5">
      <c r="A5" s="2" t="inlineStr">
        <is>
          <t>ROAD cost = estimated road km x road rate per tonne-km. Settings!B3 is YOUR tipper quote. Until you type it, an ILLUSTRATIVE rate is used and the sheet says so. Replace it before acting.</t>
        </is>
      </c>
    </row>
    <row r="6">
      <c r="A6" s="2" t="inlineStr">
        <is>
          <t>No tonnage is in the export, so costs are per tonne, never per contract. 'Winner's base' (the winner's own cost) is unknown: this sheet shows which tenders were near enough that freight could have decided them, not who would have won.</t>
        </is>
      </c>
    </row>
    <row r="7">
      <c r="A7" s="2" t="inlineStr">
        <is>
          <t>Yellow cells are inputs. Everything else is a formula.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1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60" customWidth="1" min="4" max="4"/>
    <col width="22" customWidth="1" min="5" max="5"/>
    <col width="30" customWidth="1" min="6" max="6"/>
    <col width="14" customWidth="1" min="7" max="7"/>
    <col width="14" customWidth="1" min="8" max="8"/>
    <col width="11" customWidth="1" min="9" max="9"/>
    <col width="10" customWidth="1" min="10" max="10"/>
    <col width="26" customWidth="1" min="11" max="11"/>
    <col width="34" customWidth="1" min="12" max="12"/>
    <col width="12" customWidth="1" min="13" max="13"/>
    <col width="10" customWidth="1" min="14" max="14"/>
    <col width="9" customWidth="1" min="15" max="15"/>
    <col width="9" customWidth="1" min="16" max="16"/>
    <col width="9" customWidth="1" min="17" max="17"/>
    <col width="12" customWidth="1" min="18" max="18"/>
    <col width="12" customWidth="1" min="19" max="19"/>
    <col width="12" customWidth="1" min="20" max="20"/>
    <col width="9" customWidth="1" min="21" max="21"/>
    <col width="9" customWidth="1" min="22" max="22"/>
    <col width="22" customWidth="1" min="23" max="23"/>
    <col width="30" customWidth="1" min="24" max="24"/>
  </cols>
  <sheetData>
    <row r="1">
      <c r="A1" s="3" t="inlineStr">
        <is>
          <t>Band</t>
        </is>
      </c>
      <c r="B1" s="3" t="inlineStr">
        <is>
          <t>TR247 ID</t>
        </is>
      </c>
      <c r="C1" s="3" t="inlineStr">
        <is>
          <t>Tender ref</t>
        </is>
      </c>
      <c r="D1" s="3" t="inlineStr">
        <is>
          <t>Title</t>
        </is>
      </c>
      <c r="E1" s="3" t="inlineStr">
        <is>
          <t>Category</t>
        </is>
      </c>
      <c r="F1" s="3" t="inlineStr">
        <is>
          <t>Buyer</t>
        </is>
      </c>
      <c r="G1" s="3" t="inlineStr">
        <is>
          <t>State</t>
        </is>
      </c>
      <c r="H1" s="3" t="inlineStr">
        <is>
          <t>District</t>
        </is>
      </c>
      <c r="I1" s="3" t="inlineStr">
        <is>
          <t>Close date</t>
        </is>
      </c>
      <c r="J1" s="3" t="inlineStr">
        <is>
          <t>Stage</t>
        </is>
      </c>
      <c r="K1" s="3" t="inlineStr">
        <is>
          <t>Winner</t>
        </is>
      </c>
      <c r="L1" s="3" t="inlineStr">
        <is>
          <t>Tracked rivals bidding</t>
        </is>
      </c>
      <c r="M1" s="3" t="inlineStr">
        <is>
          <t>Bidders</t>
        </is>
      </c>
      <c r="N1" s="3" t="inlineStr">
        <is>
          <t>Contract Rs Cr</t>
        </is>
      </c>
      <c r="O1" s="3" t="inlineStr">
        <is>
          <t>Straight km</t>
        </is>
      </c>
      <c r="P1" s="3" t="inlineStr">
        <is>
          <t>Est road km</t>
        </is>
      </c>
      <c r="Q1" s="3" t="inlineStr">
        <is>
          <t>Est rail km</t>
        </is>
      </c>
      <c r="R1" s="3" t="inlineStr">
        <is>
          <t>Road Rs/t (all-in)</t>
        </is>
      </c>
      <c r="S1" s="3" t="inlineStr">
        <is>
          <t>Rail base Rs/t (FOIS 145A)</t>
        </is>
      </c>
      <c r="T1" s="3" t="inlineStr">
        <is>
          <t>Rail Rs/t (all-in)</t>
        </is>
      </c>
      <c r="U1" s="3" t="inlineStr">
        <is>
          <t>Cheaper mode</t>
        </is>
      </c>
      <c r="V1" s="3" t="inlineStr">
        <is>
          <t>Saving Rs/t</t>
        </is>
      </c>
      <c r="W1" s="3" t="inlineStr">
        <is>
          <t>Rail plausible?</t>
        </is>
      </c>
      <c r="X1" s="3" t="inlineStr">
        <is>
          <t>Rate status</t>
        </is>
      </c>
    </row>
    <row r="2">
      <c r="A2" t="inlineStr">
        <is>
          <t>A ≤150 km</t>
        </is>
      </c>
      <c r="B2" t="inlineStr">
        <is>
          <t>15913239</t>
        </is>
      </c>
      <c r="C2" t="inlineStr">
        <is>
          <t>GEM/2025/B/6876204</t>
        </is>
      </c>
      <c r="D2" t="inlineStr">
        <is>
          <t>loading, transportation &amp; unloading and wagon loading of coal from surface coal yard of tlcmp to kchp</t>
        </is>
      </c>
      <c r="E2" t="inlineStr">
        <is>
          <t>Coal transport (RCR / siding)</t>
        </is>
      </c>
      <c r="F2" t="inlineStr">
        <is>
          <t>National Thermal Power Corporation Limited</t>
        </is>
      </c>
      <c r="G2" t="inlineStr">
        <is>
          <t>Chhattisgarh</t>
        </is>
      </c>
      <c r="H2" t="inlineStr">
        <is>
          <t>Raigarh</t>
        </is>
      </c>
      <c r="I2" t="inlineStr">
        <is>
          <t>2025-12-08</t>
        </is>
      </c>
      <c r="J2" t="inlineStr">
        <is>
          <t>AOC</t>
        </is>
      </c>
      <c r="K2" t="inlineStr">
        <is>
          <t>A B Carriers</t>
        </is>
      </c>
      <c r="L2" t="inlineStr">
        <is>
          <t>Anoop Road Carriers, Mohit Minerals, Nkas Services, Orissa Stevedores</t>
        </is>
      </c>
      <c r="M2" t="inlineStr">
        <is>
          <t>5 named / 10</t>
        </is>
      </c>
      <c r="N2" t="n">
        <v>9.08</v>
      </c>
      <c r="O2" t="n">
        <v>0</v>
      </c>
      <c r="P2">
        <f>MAX(O2,Settings!$B$13)*Settings!$B$7</f>
        <v/>
      </c>
      <c r="Q2">
        <f>MAX(O2,Settings!$B$13)*Settings!$B$8</f>
        <v/>
      </c>
      <c r="R2" s="4">
        <f>MAX(P2*Settings!$B$5,IF(ISNUMBER(Settings!$B$12),Settings!$B$12,0))*(1+IF(Settings!$B$11="Y",0,Settings!$B$10/100))+N(Settings!$B$9)</f>
        <v/>
      </c>
      <c r="S2" s="4">
        <f>IF(Q2&gt;1000,"beyond table",IFERROR(LOOKUP(Q2,'FOIS 145A'!$A$2:$A$22,'FOIS 145A'!$C$2:$C$22),""))</f>
        <v/>
      </c>
      <c r="T2" s="4">
        <f>IF(ISNUMBER(S2),S2*(1+IF(Settings!$B$11="Y",0,Settings!$B$10/100))+2*N(Settings!$B$9),"")</f>
        <v/>
      </c>
      <c r="U2">
        <f>IF(ISNUMBER(T2),IF(T2&lt;R2,"Rail","Road"),"")</f>
        <v/>
      </c>
      <c r="V2" s="4">
        <f>IF(ISNUMBER(T2),ABS(R2-T2),"")</f>
        <v/>
      </c>
      <c r="W2">
        <f>IF(OR(ISNUMBER(SEARCH("siding",D2)),ISNUMBER(SEARCH("rcr",D2)),ISNUMBER(SEARCH("rail",D2)),ISNUMBER(SEARCH("wagon",D2))),"Yes - siding/rail in title","Check")</f>
        <v/>
      </c>
      <c r="X2">
        <f>Settings!$B$6</f>
        <v/>
      </c>
    </row>
    <row r="3">
      <c r="A3" t="inlineStr">
        <is>
          <t>A ≤150 km</t>
        </is>
      </c>
      <c r="B3" t="inlineStr">
        <is>
          <t>16341071</t>
        </is>
      </c>
      <c r="C3" t="inlineStr">
        <is>
          <t>GEM/2025/B/7003513</t>
        </is>
      </c>
      <c r="D3" t="inlineStr">
        <is>
          <t>handling service, hiring of pay loaders incorporatedfitted with weight sensors for mechanical transfer of crushed coal below100mm in to rail</t>
        </is>
      </c>
      <c r="E3" t="inlineStr">
        <is>
          <t>Loading / handling / crushing</t>
        </is>
      </c>
      <c r="F3" t="inlineStr">
        <is>
          <t>South Eastern Coalfields Limited</t>
        </is>
      </c>
      <c r="G3" t="inlineStr">
        <is>
          <t>Chhattisgarh</t>
        </is>
      </c>
      <c r="H3" t="inlineStr">
        <is>
          <t>Raigarh</t>
        </is>
      </c>
      <c r="I3" t="inlineStr">
        <is>
          <t>2025-12-31</t>
        </is>
      </c>
      <c r="J3" t="inlineStr">
        <is>
          <t>AOC</t>
        </is>
      </c>
      <c r="K3" t="inlineStr">
        <is>
          <t>G K Associates</t>
        </is>
      </c>
      <c r="L3" t="inlineStr">
        <is>
          <t>G K Associates, Chandan Kumar Singh</t>
        </is>
      </c>
      <c r="M3" t="inlineStr">
        <is>
          <t>4 named / 4</t>
        </is>
      </c>
      <c r="N3" t="n">
        <v>5.39</v>
      </c>
      <c r="O3" t="n">
        <v>0</v>
      </c>
      <c r="P3">
        <f>MAX(O3,Settings!$B$13)*Settings!$B$7</f>
        <v/>
      </c>
      <c r="Q3">
        <f>MAX(O3,Settings!$B$13)*Settings!$B$8</f>
        <v/>
      </c>
      <c r="R3" s="4">
        <f>MAX(P3*Settings!$B$5,IF(ISNUMBER(Settings!$B$12),Settings!$B$12,0))*(1+IF(Settings!$B$11="Y",0,Settings!$B$10/100))+N(Settings!$B$9)</f>
        <v/>
      </c>
      <c r="S3" s="4">
        <f>IF(Q3&gt;1000,"beyond table",IFERROR(LOOKUP(Q3,'FOIS 145A'!$A$2:$A$22,'FOIS 145A'!$C$2:$C$22),""))</f>
        <v/>
      </c>
      <c r="T3" s="4">
        <f>IF(ISNUMBER(S3),S3*(1+IF(Settings!$B$11="Y",0,Settings!$B$10/100))+2*N(Settings!$B$9),"")</f>
        <v/>
      </c>
      <c r="U3">
        <f>IF(ISNUMBER(T3),IF(T3&lt;R3,"Rail","Road"),"")</f>
        <v/>
      </c>
      <c r="V3" s="4">
        <f>IF(ISNUMBER(T3),ABS(R3-T3),"")</f>
        <v/>
      </c>
      <c r="W3">
        <f>IF(OR(ISNUMBER(SEARCH("siding",D3)),ISNUMBER(SEARCH("rcr",D3)),ISNUMBER(SEARCH("rail",D3)),ISNUMBER(SEARCH("wagon",D3))),"Yes - siding/rail in title","Check")</f>
        <v/>
      </c>
      <c r="X3">
        <f>Settings!$B$6</f>
        <v/>
      </c>
    </row>
    <row r="4">
      <c r="A4" t="inlineStr">
        <is>
          <t>A ≤150 km</t>
        </is>
      </c>
      <c r="B4" t="inlineStr">
        <is>
          <t>17065555</t>
        </is>
      </c>
      <c r="C4" t="inlineStr">
        <is>
          <t>GEM/2026/B/7067958</t>
        </is>
      </c>
      <c r="D4" t="inlineStr">
        <is>
          <t>handling service, handling &amp; transport service, ob removal, coal extraction, composite work for ob removal cutting loading transportation wa</t>
        </is>
      </c>
      <c r="E4" t="inlineStr">
        <is>
          <t>Mining services (OB / extraction)</t>
        </is>
      </c>
      <c r="F4" t="inlineStr">
        <is>
          <t>South Eastern Coalfields Limited</t>
        </is>
      </c>
      <c r="G4" t="inlineStr">
        <is>
          <t>Chhattisgarh</t>
        </is>
      </c>
      <c r="H4" t="inlineStr">
        <is>
          <t>Raigarh</t>
        </is>
      </c>
      <c r="I4" t="inlineStr">
        <is>
          <t>2026-02-28</t>
        </is>
      </c>
      <c r="J4" t="inlineStr">
        <is>
          <t>AOC</t>
        </is>
      </c>
      <c r="K4" t="inlineStr">
        <is>
          <t>Sunil Kumar Agrawal</t>
        </is>
      </c>
      <c r="L4" t="inlineStr"/>
      <c r="M4" t="inlineStr">
        <is>
          <t>5 named / 11</t>
        </is>
      </c>
      <c r="N4" t="n">
        <v>4247.08</v>
      </c>
      <c r="O4" t="n">
        <v>0</v>
      </c>
      <c r="P4">
        <f>MAX(O4,Settings!$B$13)*Settings!$B$7</f>
        <v/>
      </c>
      <c r="Q4">
        <f>MAX(O4,Settings!$B$13)*Settings!$B$8</f>
        <v/>
      </c>
      <c r="R4" s="4">
        <f>MAX(P4*Settings!$B$5,IF(ISNUMBER(Settings!$B$12),Settings!$B$12,0))*(1+IF(Settings!$B$11="Y",0,Settings!$B$10/100))+N(Settings!$B$9)</f>
        <v/>
      </c>
      <c r="S4" s="4">
        <f>IF(Q4&gt;1000,"beyond table",IFERROR(LOOKUP(Q4,'FOIS 145A'!$A$2:$A$22,'FOIS 145A'!$C$2:$C$22),""))</f>
        <v/>
      </c>
      <c r="T4" s="4">
        <f>IF(ISNUMBER(S4),S4*(1+IF(Settings!$B$11="Y",0,Settings!$B$10/100))+2*N(Settings!$B$9),"")</f>
        <v/>
      </c>
      <c r="U4">
        <f>IF(ISNUMBER(T4),IF(T4&lt;R4,"Rail","Road"),"")</f>
        <v/>
      </c>
      <c r="V4" s="4">
        <f>IF(ISNUMBER(T4),ABS(R4-T4),"")</f>
        <v/>
      </c>
      <c r="W4">
        <f>IF(OR(ISNUMBER(SEARCH("siding",D4)),ISNUMBER(SEARCH("rcr",D4)),ISNUMBER(SEARCH("rail",D4)),ISNUMBER(SEARCH("wagon",D4))),"Yes - siding/rail in title","Check")</f>
        <v/>
      </c>
      <c r="X4">
        <f>Settings!$B$6</f>
        <v/>
      </c>
    </row>
    <row r="5">
      <c r="A5" t="inlineStr">
        <is>
          <t>A ≤150 km</t>
        </is>
      </c>
      <c r="B5" t="inlineStr">
        <is>
          <t>15858739</t>
        </is>
      </c>
      <c r="C5" t="inlineStr">
        <is>
          <t>GEM/2025/B/6353919</t>
        </is>
      </c>
      <c r="D5" t="inlineStr">
        <is>
          <t xml:space="preserve">handling ,transport and other mining services - percentagequote based - handling &amp; transport service, ob removal,coal extraction, composite </t>
        </is>
      </c>
      <c r="E5" t="inlineStr">
        <is>
          <t>Mining services (OB / extraction)</t>
        </is>
      </c>
      <c r="F5" t="inlineStr">
        <is>
          <t>South Eastern Coalfields Limited</t>
        </is>
      </c>
      <c r="G5" t="inlineStr">
        <is>
          <t>Chhattisgarh</t>
        </is>
      </c>
      <c r="H5" t="inlineStr">
        <is>
          <t>Raigarh</t>
        </is>
      </c>
      <c r="I5" t="inlineStr">
        <is>
          <t>2025-08-16</t>
        </is>
      </c>
      <c r="J5" t="inlineStr">
        <is>
          <t>AOC</t>
        </is>
      </c>
      <c r="K5" t="inlineStr">
        <is>
          <t xml:space="preserve">Sical Logistics Limited </t>
        </is>
      </c>
      <c r="L5" t="inlineStr">
        <is>
          <t>Caliber Mining and Logistics</t>
        </is>
      </c>
      <c r="M5" t="inlineStr">
        <is>
          <t>5 named / 25</t>
        </is>
      </c>
      <c r="N5" t="n">
        <v>4038.18</v>
      </c>
      <c r="O5" t="n">
        <v>0</v>
      </c>
      <c r="P5">
        <f>MAX(O5,Settings!$B$13)*Settings!$B$7</f>
        <v/>
      </c>
      <c r="Q5">
        <f>MAX(O5,Settings!$B$13)*Settings!$B$8</f>
        <v/>
      </c>
      <c r="R5" s="4">
        <f>MAX(P5*Settings!$B$5,IF(ISNUMBER(Settings!$B$12),Settings!$B$12,0))*(1+IF(Settings!$B$11="Y",0,Settings!$B$10/100))+N(Settings!$B$9)</f>
        <v/>
      </c>
      <c r="S5" s="4">
        <f>IF(Q5&gt;1000,"beyond table",IFERROR(LOOKUP(Q5,'FOIS 145A'!$A$2:$A$22,'FOIS 145A'!$C$2:$C$22),""))</f>
        <v/>
      </c>
      <c r="T5" s="4">
        <f>IF(ISNUMBER(S5),S5*(1+IF(Settings!$B$11="Y",0,Settings!$B$10/100))+2*N(Settings!$B$9),"")</f>
        <v/>
      </c>
      <c r="U5">
        <f>IF(ISNUMBER(T5),IF(T5&lt;R5,"Rail","Road"),"")</f>
        <v/>
      </c>
      <c r="V5" s="4">
        <f>IF(ISNUMBER(T5),ABS(R5-T5),"")</f>
        <v/>
      </c>
      <c r="W5">
        <f>IF(OR(ISNUMBER(SEARCH("siding",D5)),ISNUMBER(SEARCH("rcr",D5)),ISNUMBER(SEARCH("rail",D5)),ISNUMBER(SEARCH("wagon",D5))),"Yes - siding/rail in title","Check")</f>
        <v/>
      </c>
      <c r="X5">
        <f>Settings!$B$6</f>
        <v/>
      </c>
    </row>
    <row r="6">
      <c r="A6" t="inlineStr">
        <is>
          <t>A ≤150 km</t>
        </is>
      </c>
      <c r="B6" t="inlineStr">
        <is>
          <t>12706783</t>
        </is>
      </c>
      <c r="C6" t="inlineStr">
        <is>
          <t>GEM/2025/B/5868534</t>
        </is>
      </c>
      <c r="D6" t="inlineStr">
        <is>
          <t>loading and transportation</t>
        </is>
      </c>
      <c r="E6" t="inlineStr">
        <is>
          <t>Coal transport (road)</t>
        </is>
      </c>
      <c r="F6" t="inlineStr">
        <is>
          <t>Mahanadi Coalfields Limited</t>
        </is>
      </c>
      <c r="G6" t="inlineStr">
        <is>
          <t>Orissa</t>
        </is>
      </c>
      <c r="H6" t="inlineStr">
        <is>
          <t>Jharsuguda</t>
        </is>
      </c>
      <c r="I6" t="inlineStr">
        <is>
          <t>2025-02-20</t>
        </is>
      </c>
      <c r="J6" t="inlineStr">
        <is>
          <t>AOC</t>
        </is>
      </c>
      <c r="K6" t="inlineStr">
        <is>
          <t>Variant Commercial Private Limited</t>
        </is>
      </c>
      <c r="L6" t="inlineStr"/>
      <c r="M6" t="inlineStr">
        <is>
          <t>5 named / 11</t>
        </is>
      </c>
      <c r="N6" t="n">
        <v>94.20999999999999</v>
      </c>
      <c r="O6" t="n">
        <v>63</v>
      </c>
      <c r="P6">
        <f>MAX(O6,Settings!$B$13)*Settings!$B$7</f>
        <v/>
      </c>
      <c r="Q6">
        <f>MAX(O6,Settings!$B$13)*Settings!$B$8</f>
        <v/>
      </c>
      <c r="R6" s="4">
        <f>MAX(P6*Settings!$B$5,IF(ISNUMBER(Settings!$B$12),Settings!$B$12,0))*(1+IF(Settings!$B$11="Y",0,Settings!$B$10/100))+N(Settings!$B$9)</f>
        <v/>
      </c>
      <c r="S6" s="4">
        <f>IF(Q6&gt;1000,"beyond table",IFERROR(LOOKUP(Q6,'FOIS 145A'!$A$2:$A$22,'FOIS 145A'!$C$2:$C$22),""))</f>
        <v/>
      </c>
      <c r="T6" s="4">
        <f>IF(ISNUMBER(S6),S6*(1+IF(Settings!$B$11="Y",0,Settings!$B$10/100))+2*N(Settings!$B$9),"")</f>
        <v/>
      </c>
      <c r="U6">
        <f>IF(ISNUMBER(T6),IF(T6&lt;R6,"Rail","Road"),"")</f>
        <v/>
      </c>
      <c r="V6" s="4">
        <f>IF(ISNUMBER(T6),ABS(R6-T6),"")</f>
        <v/>
      </c>
      <c r="W6">
        <f>IF(OR(ISNUMBER(SEARCH("siding",D6)),ISNUMBER(SEARCH("rcr",D6)),ISNUMBER(SEARCH("rail",D6)),ISNUMBER(SEARCH("wagon",D6))),"Yes - siding/rail in title","Check")</f>
        <v/>
      </c>
      <c r="X6">
        <f>Settings!$B$6</f>
        <v/>
      </c>
    </row>
    <row r="7">
      <c r="A7" t="inlineStr">
        <is>
          <t>A ≤150 km</t>
        </is>
      </c>
      <c r="B7" t="inlineStr">
        <is>
          <t>14060255</t>
        </is>
      </c>
      <c r="C7" t="inlineStr">
        <is>
          <t>GEM/2025/B/6194484</t>
        </is>
      </c>
      <c r="D7" t="inlineStr">
        <is>
          <t>domestic coal for ntpc</t>
        </is>
      </c>
      <c r="E7" t="inlineStr">
        <is>
          <t>Coal supply</t>
        </is>
      </c>
      <c r="F7" t="inlineStr">
        <is>
          <t>National Thermal Power Corporation Limited</t>
        </is>
      </c>
      <c r="G7" t="inlineStr">
        <is>
          <t>Orissa</t>
        </is>
      </c>
      <c r="H7" t="inlineStr">
        <is>
          <t>Sundergarh</t>
        </is>
      </c>
      <c r="I7" t="inlineStr">
        <is>
          <t>2025-06-09</t>
        </is>
      </c>
      <c r="J7" t="inlineStr">
        <is>
          <t>Financial</t>
        </is>
      </c>
      <c r="K7" t="inlineStr">
        <is>
          <t>-</t>
        </is>
      </c>
      <c r="L7" t="inlineStr">
        <is>
          <t>Godavari Commodities, Sendoz Impex</t>
        </is>
      </c>
      <c r="M7" t="inlineStr">
        <is>
          <t>3 named / 3</t>
        </is>
      </c>
      <c r="O7" t="n">
        <v>69</v>
      </c>
      <c r="P7">
        <f>MAX(O7,Settings!$B$13)*Settings!$B$7</f>
        <v/>
      </c>
      <c r="Q7">
        <f>MAX(O7,Settings!$B$13)*Settings!$B$8</f>
        <v/>
      </c>
      <c r="R7" s="4">
        <f>MAX(P7*Settings!$B$5,IF(ISNUMBER(Settings!$B$12),Settings!$B$12,0))*(1+IF(Settings!$B$11="Y",0,Settings!$B$10/100))+N(Settings!$B$9)</f>
        <v/>
      </c>
      <c r="S7" s="4">
        <f>IF(Q7&gt;1000,"beyond table",IFERROR(LOOKUP(Q7,'FOIS 145A'!$A$2:$A$22,'FOIS 145A'!$C$2:$C$22),""))</f>
        <v/>
      </c>
      <c r="T7" s="4">
        <f>IF(ISNUMBER(S7),S7*(1+IF(Settings!$B$11="Y",0,Settings!$B$10/100))+2*N(Settings!$B$9),"")</f>
        <v/>
      </c>
      <c r="U7">
        <f>IF(ISNUMBER(T7),IF(T7&lt;R7,"Rail","Road"),"")</f>
        <v/>
      </c>
      <c r="V7" s="4">
        <f>IF(ISNUMBER(T7),ABS(R7-T7),"")</f>
        <v/>
      </c>
      <c r="W7">
        <f>IF(OR(ISNUMBER(SEARCH("siding",D7)),ISNUMBER(SEARCH("rcr",D7)),ISNUMBER(SEARCH("rail",D7)),ISNUMBER(SEARCH("wagon",D7))),"Yes - siding/rail in title","Check")</f>
        <v/>
      </c>
      <c r="X7">
        <f>Settings!$B$6</f>
        <v/>
      </c>
    </row>
    <row r="8">
      <c r="A8" t="inlineStr">
        <is>
          <t>A ≤150 km</t>
        </is>
      </c>
      <c r="B8" t="inlineStr">
        <is>
          <t>17284903</t>
        </is>
      </c>
      <c r="C8" t="inlineStr">
        <is>
          <t>GEM/2026/B/7448459</t>
        </is>
      </c>
      <c r="D8" t="inlineStr">
        <is>
          <t>hiring of payloaders and tippers for loading and transportation of coal from stock to siding</t>
        </is>
      </c>
      <c r="E8" t="inlineStr">
        <is>
          <t>Coal transport (RCR / siding)</t>
        </is>
      </c>
      <c r="F8" t="inlineStr">
        <is>
          <t>Mahanadi Coalfields Limited</t>
        </is>
      </c>
      <c r="G8" t="inlineStr">
        <is>
          <t>Orissa</t>
        </is>
      </c>
      <c r="H8" t="inlineStr">
        <is>
          <t>Sundergarh</t>
        </is>
      </c>
      <c r="I8" t="inlineStr">
        <is>
          <t>2026-05-02</t>
        </is>
      </c>
      <c r="J8" t="inlineStr">
        <is>
          <t>AOC</t>
        </is>
      </c>
      <c r="K8" t="inlineStr">
        <is>
          <t>Jagshobha Logistics Llp</t>
        </is>
      </c>
      <c r="L8" t="inlineStr"/>
      <c r="M8" t="inlineStr">
        <is>
          <t>5 named / 7</t>
        </is>
      </c>
      <c r="N8" t="n">
        <v>2.07</v>
      </c>
      <c r="O8" t="n">
        <v>69</v>
      </c>
      <c r="P8">
        <f>MAX(O8,Settings!$B$13)*Settings!$B$7</f>
        <v/>
      </c>
      <c r="Q8">
        <f>MAX(O8,Settings!$B$13)*Settings!$B$8</f>
        <v/>
      </c>
      <c r="R8" s="4">
        <f>MAX(P8*Settings!$B$5,IF(ISNUMBER(Settings!$B$12),Settings!$B$12,0))*(1+IF(Settings!$B$11="Y",0,Settings!$B$10/100))+N(Settings!$B$9)</f>
        <v/>
      </c>
      <c r="S8" s="4">
        <f>IF(Q8&gt;1000,"beyond table",IFERROR(LOOKUP(Q8,'FOIS 145A'!$A$2:$A$22,'FOIS 145A'!$C$2:$C$22),""))</f>
        <v/>
      </c>
      <c r="T8" s="4">
        <f>IF(ISNUMBER(S8),S8*(1+IF(Settings!$B$11="Y",0,Settings!$B$10/100))+2*N(Settings!$B$9),"")</f>
        <v/>
      </c>
      <c r="U8">
        <f>IF(ISNUMBER(T8),IF(T8&lt;R8,"Rail","Road"),"")</f>
        <v/>
      </c>
      <c r="V8" s="4">
        <f>IF(ISNUMBER(T8),ABS(R8-T8),"")</f>
        <v/>
      </c>
      <c r="W8">
        <f>IF(OR(ISNUMBER(SEARCH("siding",D8)),ISNUMBER(SEARCH("rcr",D8)),ISNUMBER(SEARCH("rail",D8)),ISNUMBER(SEARCH("wagon",D8))),"Yes - siding/rail in title","Check")</f>
        <v/>
      </c>
      <c r="X8">
        <f>Settings!$B$6</f>
        <v/>
      </c>
    </row>
    <row r="9">
      <c r="A9" t="inlineStr">
        <is>
          <t>A ≤150 km</t>
        </is>
      </c>
      <c r="B9" t="inlineStr">
        <is>
          <t>16121661</t>
        </is>
      </c>
      <c r="C9" t="inlineStr">
        <is>
          <t>GEM/2025/B/6910835</t>
        </is>
      </c>
      <c r="D9" t="inlineStr">
        <is>
          <t>hiring of pay loaders and tippers for loading and transportation of coal from face to siding</t>
        </is>
      </c>
      <c r="E9" t="inlineStr">
        <is>
          <t>Coal transport (RCR / siding)</t>
        </is>
      </c>
      <c r="F9" t="inlineStr">
        <is>
          <t>Mahanadi Coalfields Limited</t>
        </is>
      </c>
      <c r="G9" t="inlineStr">
        <is>
          <t>Orissa</t>
        </is>
      </c>
      <c r="H9" t="inlineStr">
        <is>
          <t>Sundergarh</t>
        </is>
      </c>
      <c r="I9" t="inlineStr">
        <is>
          <t>2025-12-12</t>
        </is>
      </c>
      <c r="J9" t="inlineStr">
        <is>
          <t>AOC</t>
        </is>
      </c>
      <c r="K9" t="inlineStr">
        <is>
          <t>Matarani Resources Private Limited</t>
        </is>
      </c>
      <c r="L9" t="inlineStr"/>
      <c r="M9" t="inlineStr">
        <is>
          <t>3 named / 3</t>
        </is>
      </c>
      <c r="N9" t="n">
        <v>6.17</v>
      </c>
      <c r="O9" t="n">
        <v>69</v>
      </c>
      <c r="P9">
        <f>MAX(O9,Settings!$B$13)*Settings!$B$7</f>
        <v/>
      </c>
      <c r="Q9">
        <f>MAX(O9,Settings!$B$13)*Settings!$B$8</f>
        <v/>
      </c>
      <c r="R9" s="4">
        <f>MAX(P9*Settings!$B$5,IF(ISNUMBER(Settings!$B$12),Settings!$B$12,0))*(1+IF(Settings!$B$11="Y",0,Settings!$B$10/100))+N(Settings!$B$9)</f>
        <v/>
      </c>
      <c r="S9" s="4">
        <f>IF(Q9&gt;1000,"beyond table",IFERROR(LOOKUP(Q9,'FOIS 145A'!$A$2:$A$22,'FOIS 145A'!$C$2:$C$22),""))</f>
        <v/>
      </c>
      <c r="T9" s="4">
        <f>IF(ISNUMBER(S9),S9*(1+IF(Settings!$B$11="Y",0,Settings!$B$10/100))+2*N(Settings!$B$9),"")</f>
        <v/>
      </c>
      <c r="U9">
        <f>IF(ISNUMBER(T9),IF(T9&lt;R9,"Rail","Road"),"")</f>
        <v/>
      </c>
      <c r="V9" s="4">
        <f>IF(ISNUMBER(T9),ABS(R9-T9),"")</f>
        <v/>
      </c>
      <c r="W9">
        <f>IF(OR(ISNUMBER(SEARCH("siding",D9)),ISNUMBER(SEARCH("rcr",D9)),ISNUMBER(SEARCH("rail",D9)),ISNUMBER(SEARCH("wagon",D9))),"Yes - siding/rail in title","Check")</f>
        <v/>
      </c>
      <c r="X9">
        <f>Settings!$B$6</f>
        <v/>
      </c>
    </row>
    <row r="10">
      <c r="A10" t="inlineStr">
        <is>
          <t>A ≤150 km</t>
        </is>
      </c>
      <c r="B10" t="inlineStr">
        <is>
          <t>17034496</t>
        </is>
      </c>
      <c r="C10" t="inlineStr">
        <is>
          <t>2026_OCAPL_127805_1</t>
        </is>
      </c>
      <c r="D10" t="inlineStr">
        <is>
          <t>transportation of coal from manoharpur coal mines to ntpc, darlipali, sundargarh by road</t>
        </is>
      </c>
      <c r="E10" t="inlineStr">
        <is>
          <t>Coal transport (road)</t>
        </is>
      </c>
      <c r="F10" t="inlineStr">
        <is>
          <t>Odisha Coal And Power Limited</t>
        </is>
      </c>
      <c r="G10" t="inlineStr">
        <is>
          <t>Orissa</t>
        </is>
      </c>
      <c r="H10" t="inlineStr">
        <is>
          <t>Sundergarh</t>
        </is>
      </c>
      <c r="I10" t="inlineStr">
        <is>
          <t>2026-04-09</t>
        </is>
      </c>
      <c r="J10" t="inlineStr">
        <is>
          <t>Technical</t>
        </is>
      </c>
      <c r="K10" t="inlineStr">
        <is>
          <t>-</t>
        </is>
      </c>
      <c r="L10" t="inlineStr">
        <is>
          <t>Vedvyas Logistic</t>
        </is>
      </c>
      <c r="M10" t="inlineStr">
        <is>
          <t>5 named / 5</t>
        </is>
      </c>
      <c r="O10" t="n">
        <v>69</v>
      </c>
      <c r="P10">
        <f>MAX(O10,Settings!$B$13)*Settings!$B$7</f>
        <v/>
      </c>
      <c r="Q10">
        <f>MAX(O10,Settings!$B$13)*Settings!$B$8</f>
        <v/>
      </c>
      <c r="R10" s="4">
        <f>MAX(P10*Settings!$B$5,IF(ISNUMBER(Settings!$B$12),Settings!$B$12,0))*(1+IF(Settings!$B$11="Y",0,Settings!$B$10/100))+N(Settings!$B$9)</f>
        <v/>
      </c>
      <c r="S10" s="4">
        <f>IF(Q10&gt;1000,"beyond table",IFERROR(LOOKUP(Q10,'FOIS 145A'!$A$2:$A$22,'FOIS 145A'!$C$2:$C$22),""))</f>
        <v/>
      </c>
      <c r="T10" s="4">
        <f>IF(ISNUMBER(S10),S10*(1+IF(Settings!$B$11="Y",0,Settings!$B$10/100))+2*N(Settings!$B$9),"")</f>
        <v/>
      </c>
      <c r="U10">
        <f>IF(ISNUMBER(T10),IF(T10&lt;R10,"Rail","Road"),"")</f>
        <v/>
      </c>
      <c r="V10" s="4">
        <f>IF(ISNUMBER(T10),ABS(R10-T10),"")</f>
        <v/>
      </c>
      <c r="W10">
        <f>IF(OR(ISNUMBER(SEARCH("siding",D10)),ISNUMBER(SEARCH("rcr",D10)),ISNUMBER(SEARCH("rail",D10)),ISNUMBER(SEARCH("wagon",D10))),"Yes - siding/rail in title","Check")</f>
        <v/>
      </c>
      <c r="X10">
        <f>Settings!$B$6</f>
        <v/>
      </c>
    </row>
    <row r="11">
      <c r="A11" t="inlineStr">
        <is>
          <t>A ≤150 km</t>
        </is>
      </c>
      <c r="B11" t="inlineStr">
        <is>
          <t>12921764</t>
        </is>
      </c>
      <c r="C11" t="inlineStr">
        <is>
          <t>GEM/2025/B/5954457</t>
        </is>
      </c>
      <c r="D11" t="inlineStr">
        <is>
          <t>loading of road sale tippe</t>
        </is>
      </c>
      <c r="E11" t="inlineStr">
        <is>
          <t>Loading / handling / crushing</t>
        </is>
      </c>
      <c r="F11" t="inlineStr">
        <is>
          <t>Mahanadi Coalfields Limited</t>
        </is>
      </c>
      <c r="G11" t="inlineStr">
        <is>
          <t>Orissa</t>
        </is>
      </c>
      <c r="H11" t="inlineStr">
        <is>
          <t>Sundergarh</t>
        </is>
      </c>
      <c r="I11" t="inlineStr">
        <is>
          <t>2025-03-03</t>
        </is>
      </c>
      <c r="J11" t="inlineStr">
        <is>
          <t>AOC</t>
        </is>
      </c>
      <c r="K11" t="inlineStr">
        <is>
          <t>Millennium Suppliers Private Limited</t>
        </is>
      </c>
      <c r="L11" t="inlineStr"/>
      <c r="M11" t="inlineStr">
        <is>
          <t>5 named / 12</t>
        </is>
      </c>
      <c r="N11" t="n">
        <v>26.98</v>
      </c>
      <c r="O11" t="n">
        <v>69</v>
      </c>
      <c r="P11">
        <f>MAX(O11,Settings!$B$13)*Settings!$B$7</f>
        <v/>
      </c>
      <c r="Q11">
        <f>MAX(O11,Settings!$B$13)*Settings!$B$8</f>
        <v/>
      </c>
      <c r="R11" s="4">
        <f>MAX(P11*Settings!$B$5,IF(ISNUMBER(Settings!$B$12),Settings!$B$12,0))*(1+IF(Settings!$B$11="Y",0,Settings!$B$10/100))+N(Settings!$B$9)</f>
        <v/>
      </c>
      <c r="S11" s="4">
        <f>IF(Q11&gt;1000,"beyond table",IFERROR(LOOKUP(Q11,'FOIS 145A'!$A$2:$A$22,'FOIS 145A'!$C$2:$C$22),""))</f>
        <v/>
      </c>
      <c r="T11" s="4">
        <f>IF(ISNUMBER(S11),S11*(1+IF(Settings!$B$11="Y",0,Settings!$B$10/100))+2*N(Settings!$B$9),"")</f>
        <v/>
      </c>
      <c r="U11">
        <f>IF(ISNUMBER(T11),IF(T11&lt;R11,"Rail","Road"),"")</f>
        <v/>
      </c>
      <c r="V11" s="4">
        <f>IF(ISNUMBER(T11),ABS(R11-T11),"")</f>
        <v/>
      </c>
      <c r="W11">
        <f>IF(OR(ISNUMBER(SEARCH("siding",D11)),ISNUMBER(SEARCH("rcr",D11)),ISNUMBER(SEARCH("rail",D11)),ISNUMBER(SEARCH("wagon",D11))),"Yes - siding/rail in title","Check")</f>
        <v/>
      </c>
      <c r="X11">
        <f>Settings!$B$6</f>
        <v/>
      </c>
    </row>
    <row r="12">
      <c r="A12" t="inlineStr">
        <is>
          <t>A ≤150 km</t>
        </is>
      </c>
      <c r="B12" t="inlineStr">
        <is>
          <t>15025805</t>
        </is>
      </c>
      <c r="C12" t="inlineStr">
        <is>
          <t>GEM/2025/B/6419957</t>
        </is>
      </c>
      <c r="D12" t="inlineStr">
        <is>
          <t>hiring of pay loaders and</t>
        </is>
      </c>
      <c r="E12" t="inlineStr">
        <is>
          <t>Other</t>
        </is>
      </c>
      <c r="F12" t="inlineStr">
        <is>
          <t>Mahanadi Coalfields Limited</t>
        </is>
      </c>
      <c r="G12" t="inlineStr">
        <is>
          <t>Orissa</t>
        </is>
      </c>
      <c r="H12" t="inlineStr">
        <is>
          <t>Sundergarh</t>
        </is>
      </c>
      <c r="I12" t="inlineStr">
        <is>
          <t>2025-07-21</t>
        </is>
      </c>
      <c r="J12" t="inlineStr">
        <is>
          <t>AOC</t>
        </is>
      </c>
      <c r="K12" t="inlineStr">
        <is>
          <t>Matarani Resources Private Limited</t>
        </is>
      </c>
      <c r="L12" t="inlineStr">
        <is>
          <t>Saikrupa Coal Supplier</t>
        </is>
      </c>
      <c r="M12" t="inlineStr">
        <is>
          <t>3 named / 3</t>
        </is>
      </c>
      <c r="N12" t="n">
        <v>7.1</v>
      </c>
      <c r="O12" t="n">
        <v>69</v>
      </c>
      <c r="P12">
        <f>MAX(O12,Settings!$B$13)*Settings!$B$7</f>
        <v/>
      </c>
      <c r="Q12">
        <f>MAX(O12,Settings!$B$13)*Settings!$B$8</f>
        <v/>
      </c>
      <c r="R12" s="4">
        <f>MAX(P12*Settings!$B$5,IF(ISNUMBER(Settings!$B$12),Settings!$B$12,0))*(1+IF(Settings!$B$11="Y",0,Settings!$B$10/100))+N(Settings!$B$9)</f>
        <v/>
      </c>
      <c r="S12" s="4">
        <f>IF(Q12&gt;1000,"beyond table",IFERROR(LOOKUP(Q12,'FOIS 145A'!$A$2:$A$22,'FOIS 145A'!$C$2:$C$22),""))</f>
        <v/>
      </c>
      <c r="T12" s="4">
        <f>IF(ISNUMBER(S12),S12*(1+IF(Settings!$B$11="Y",0,Settings!$B$10/100))+2*N(Settings!$B$9),"")</f>
        <v/>
      </c>
      <c r="U12">
        <f>IF(ISNUMBER(T12),IF(T12&lt;R12,"Rail","Road"),"")</f>
        <v/>
      </c>
      <c r="V12" s="4">
        <f>IF(ISNUMBER(T12),ABS(R12-T12),"")</f>
        <v/>
      </c>
      <c r="W12">
        <f>IF(OR(ISNUMBER(SEARCH("siding",D12)),ISNUMBER(SEARCH("rcr",D12)),ISNUMBER(SEARCH("rail",D12)),ISNUMBER(SEARCH("wagon",D12))),"Yes - siding/rail in title","Check")</f>
        <v/>
      </c>
      <c r="X12">
        <f>Settings!$B$6</f>
        <v/>
      </c>
    </row>
    <row r="13">
      <c r="A13" t="inlineStr">
        <is>
          <t>A ≤150 km</t>
        </is>
      </c>
      <c r="B13" t="inlineStr">
        <is>
          <t>14395678</t>
        </is>
      </c>
      <c r="C13" t="inlineStr">
        <is>
          <t>GEM/2025/B/6315435</t>
        </is>
      </c>
      <c r="D13" t="inlineStr">
        <is>
          <t>extraction of coal/coal me</t>
        </is>
      </c>
      <c r="E13" t="inlineStr">
        <is>
          <t>Other</t>
        </is>
      </c>
      <c r="F13" t="inlineStr">
        <is>
          <t>Mahanadi Coalfields Limited</t>
        </is>
      </c>
      <c r="G13" t="inlineStr">
        <is>
          <t>Orissa</t>
        </is>
      </c>
      <c r="H13" t="inlineStr">
        <is>
          <t>Sundergarh</t>
        </is>
      </c>
      <c r="I13" t="inlineStr">
        <is>
          <t>2025-07-10</t>
        </is>
      </c>
      <c r="J13" t="inlineStr">
        <is>
          <t>AOC</t>
        </is>
      </c>
      <c r="K13" t="inlineStr">
        <is>
          <t>Shree Ranisati Mining</t>
        </is>
      </c>
      <c r="L13" t="inlineStr"/>
      <c r="M13" t="inlineStr">
        <is>
          <t>5 named / 9</t>
        </is>
      </c>
      <c r="N13" t="n">
        <v>174.14</v>
      </c>
      <c r="O13" t="n">
        <v>69</v>
      </c>
      <c r="P13">
        <f>MAX(O13,Settings!$B$13)*Settings!$B$7</f>
        <v/>
      </c>
      <c r="Q13">
        <f>MAX(O13,Settings!$B$13)*Settings!$B$8</f>
        <v/>
      </c>
      <c r="R13" s="4">
        <f>MAX(P13*Settings!$B$5,IF(ISNUMBER(Settings!$B$12),Settings!$B$12,0))*(1+IF(Settings!$B$11="Y",0,Settings!$B$10/100))+N(Settings!$B$9)</f>
        <v/>
      </c>
      <c r="S13" s="4">
        <f>IF(Q13&gt;1000,"beyond table",IFERROR(LOOKUP(Q13,'FOIS 145A'!$A$2:$A$22,'FOIS 145A'!$C$2:$C$22),""))</f>
        <v/>
      </c>
      <c r="T13" s="4">
        <f>IF(ISNUMBER(S13),S13*(1+IF(Settings!$B$11="Y",0,Settings!$B$10/100))+2*N(Settings!$B$9),"")</f>
        <v/>
      </c>
      <c r="U13">
        <f>IF(ISNUMBER(T13),IF(T13&lt;R13,"Rail","Road"),"")</f>
        <v/>
      </c>
      <c r="V13" s="4">
        <f>IF(ISNUMBER(T13),ABS(R13-T13),"")</f>
        <v/>
      </c>
      <c r="W13">
        <f>IF(OR(ISNUMBER(SEARCH("siding",D13)),ISNUMBER(SEARCH("rcr",D13)),ISNUMBER(SEARCH("rail",D13)),ISNUMBER(SEARCH("wagon",D13))),"Yes - siding/rail in title","Check")</f>
        <v/>
      </c>
      <c r="X13">
        <f>Settings!$B$6</f>
        <v/>
      </c>
    </row>
    <row r="14">
      <c r="A14" t="inlineStr">
        <is>
          <t>A ≤150 km</t>
        </is>
      </c>
      <c r="B14" t="inlineStr">
        <is>
          <t>13393053</t>
        </is>
      </c>
      <c r="C14" t="inlineStr">
        <is>
          <t>GEM/2025/B/6129453</t>
        </is>
      </c>
      <c r="D14" t="inlineStr">
        <is>
          <t>hiring of pay loaders &amp; ti</t>
        </is>
      </c>
      <c r="E14" t="inlineStr">
        <is>
          <t>Other</t>
        </is>
      </c>
      <c r="F14" t="inlineStr">
        <is>
          <t>Mahanadi Coalfields Limited</t>
        </is>
      </c>
      <c r="G14" t="inlineStr">
        <is>
          <t>Orissa</t>
        </is>
      </c>
      <c r="H14" t="inlineStr">
        <is>
          <t>Sundergarh</t>
        </is>
      </c>
      <c r="I14" t="inlineStr">
        <is>
          <t>2025-04-25</t>
        </is>
      </c>
      <c r="J14" t="inlineStr">
        <is>
          <t>AOC</t>
        </is>
      </c>
      <c r="K14" t="inlineStr">
        <is>
          <t>Vansh Logistics</t>
        </is>
      </c>
      <c r="L14" t="inlineStr"/>
      <c r="M14" t="inlineStr">
        <is>
          <t>5 named / 9</t>
        </is>
      </c>
      <c r="N14" t="n">
        <v>41.46</v>
      </c>
      <c r="O14" t="n">
        <v>69</v>
      </c>
      <c r="P14">
        <f>MAX(O14,Settings!$B$13)*Settings!$B$7</f>
        <v/>
      </c>
      <c r="Q14">
        <f>MAX(O14,Settings!$B$13)*Settings!$B$8</f>
        <v/>
      </c>
      <c r="R14" s="4">
        <f>MAX(P14*Settings!$B$5,IF(ISNUMBER(Settings!$B$12),Settings!$B$12,0))*(1+IF(Settings!$B$11="Y",0,Settings!$B$10/100))+N(Settings!$B$9)</f>
        <v/>
      </c>
      <c r="S14" s="4">
        <f>IF(Q14&gt;1000,"beyond table",IFERROR(LOOKUP(Q14,'FOIS 145A'!$A$2:$A$22,'FOIS 145A'!$C$2:$C$22),""))</f>
        <v/>
      </c>
      <c r="T14" s="4">
        <f>IF(ISNUMBER(S14),S14*(1+IF(Settings!$B$11="Y",0,Settings!$B$10/100))+2*N(Settings!$B$9),"")</f>
        <v/>
      </c>
      <c r="U14">
        <f>IF(ISNUMBER(T14),IF(T14&lt;R14,"Rail","Road"),"")</f>
        <v/>
      </c>
      <c r="V14" s="4">
        <f>IF(ISNUMBER(T14),ABS(R14-T14),"")</f>
        <v/>
      </c>
      <c r="W14">
        <f>IF(OR(ISNUMBER(SEARCH("siding",D14)),ISNUMBER(SEARCH("rcr",D14)),ISNUMBER(SEARCH("rail",D14)),ISNUMBER(SEARCH("wagon",D14))),"Yes - siding/rail in title","Check")</f>
        <v/>
      </c>
      <c r="X14">
        <f>Settings!$B$6</f>
        <v/>
      </c>
    </row>
    <row r="15">
      <c r="A15" t="inlineStr">
        <is>
          <t>A ≤150 km</t>
        </is>
      </c>
      <c r="B15" t="inlineStr">
        <is>
          <t>12797284</t>
        </is>
      </c>
      <c r="C15" t="inlineStr">
        <is>
          <t>GEM/2025/B/5848728</t>
        </is>
      </c>
      <c r="D15" t="inlineStr">
        <is>
          <t>providing assistance for om activities at ntpc dlcmp</t>
        </is>
      </c>
      <c r="E15" t="inlineStr">
        <is>
          <t>Other</t>
        </is>
      </c>
      <c r="F15" t="inlineStr">
        <is>
          <t>National Thermal Power Corporation Limited</t>
        </is>
      </c>
      <c r="G15" t="inlineStr">
        <is>
          <t>Orissa</t>
        </is>
      </c>
      <c r="H15" t="inlineStr">
        <is>
          <t>Sundergarh</t>
        </is>
      </c>
      <c r="I15" t="inlineStr">
        <is>
          <t>2025-02-25</t>
        </is>
      </c>
      <c r="J15" t="inlineStr">
        <is>
          <t>AOC</t>
        </is>
      </c>
      <c r="K15" t="inlineStr">
        <is>
          <t>M/S A P Construction</t>
        </is>
      </c>
      <c r="L15" t="inlineStr"/>
      <c r="M15" t="inlineStr">
        <is>
          <t>5 named / 9</t>
        </is>
      </c>
      <c r="N15" t="n">
        <v>2.19</v>
      </c>
      <c r="O15" t="n">
        <v>69</v>
      </c>
      <c r="P15">
        <f>MAX(O15,Settings!$B$13)*Settings!$B$7</f>
        <v/>
      </c>
      <c r="Q15">
        <f>MAX(O15,Settings!$B$13)*Settings!$B$8</f>
        <v/>
      </c>
      <c r="R15" s="4">
        <f>MAX(P15*Settings!$B$5,IF(ISNUMBER(Settings!$B$12),Settings!$B$12,0))*(1+IF(Settings!$B$11="Y",0,Settings!$B$10/100))+N(Settings!$B$9)</f>
        <v/>
      </c>
      <c r="S15" s="4">
        <f>IF(Q15&gt;1000,"beyond table",IFERROR(LOOKUP(Q15,'FOIS 145A'!$A$2:$A$22,'FOIS 145A'!$C$2:$C$22),""))</f>
        <v/>
      </c>
      <c r="T15" s="4">
        <f>IF(ISNUMBER(S15),S15*(1+IF(Settings!$B$11="Y",0,Settings!$B$10/100))+2*N(Settings!$B$9),"")</f>
        <v/>
      </c>
      <c r="U15">
        <f>IF(ISNUMBER(T15),IF(T15&lt;R15,"Rail","Road"),"")</f>
        <v/>
      </c>
      <c r="V15" s="4">
        <f>IF(ISNUMBER(T15),ABS(R15-T15),"")</f>
        <v/>
      </c>
      <c r="W15">
        <f>IF(OR(ISNUMBER(SEARCH("siding",D15)),ISNUMBER(SEARCH("rcr",D15)),ISNUMBER(SEARCH("rail",D15)),ISNUMBER(SEARCH("wagon",D15))),"Yes - siding/rail in title","Check")</f>
        <v/>
      </c>
      <c r="X15">
        <f>Settings!$B$6</f>
        <v/>
      </c>
    </row>
    <row r="16">
      <c r="A16" t="inlineStr">
        <is>
          <t>A ≤150 km</t>
        </is>
      </c>
      <c r="B16" t="inlineStr">
        <is>
          <t>12395907</t>
        </is>
      </c>
      <c r="C16" t="inlineStr">
        <is>
          <t>GEM/2024/B/5759091</t>
        </is>
      </c>
      <c r="D16" t="inlineStr">
        <is>
          <t>coal loading and transport</t>
        </is>
      </c>
      <c r="E16" t="inlineStr">
        <is>
          <t>Coal transport (road)</t>
        </is>
      </c>
      <c r="F16" t="inlineStr">
        <is>
          <t>Mahanadi Coalfields Limited</t>
        </is>
      </c>
      <c r="G16" t="inlineStr">
        <is>
          <t>Orissa</t>
        </is>
      </c>
      <c r="H16" t="inlineStr">
        <is>
          <t>Sambalpur</t>
        </is>
      </c>
      <c r="I16" t="inlineStr">
        <is>
          <t>2025-01-13</t>
        </is>
      </c>
      <c r="J16" t="inlineStr">
        <is>
          <t>AOC</t>
        </is>
      </c>
      <c r="K16" t="inlineStr">
        <is>
          <t>Vlt Associates</t>
        </is>
      </c>
      <c r="L16" t="inlineStr"/>
      <c r="M16" t="inlineStr">
        <is>
          <t>5 named / 10</t>
        </is>
      </c>
      <c r="N16" t="n">
        <v>28</v>
      </c>
      <c r="O16" t="n">
        <v>76</v>
      </c>
      <c r="P16">
        <f>MAX(O16,Settings!$B$13)*Settings!$B$7</f>
        <v/>
      </c>
      <c r="Q16">
        <f>MAX(O16,Settings!$B$13)*Settings!$B$8</f>
        <v/>
      </c>
      <c r="R16" s="4">
        <f>MAX(P16*Settings!$B$5,IF(ISNUMBER(Settings!$B$12),Settings!$B$12,0))*(1+IF(Settings!$B$11="Y",0,Settings!$B$10/100))+N(Settings!$B$9)</f>
        <v/>
      </c>
      <c r="S16" s="4">
        <f>IF(Q16&gt;1000,"beyond table",IFERROR(LOOKUP(Q16,'FOIS 145A'!$A$2:$A$22,'FOIS 145A'!$C$2:$C$22),""))</f>
        <v/>
      </c>
      <c r="T16" s="4">
        <f>IF(ISNUMBER(S16),S16*(1+IF(Settings!$B$11="Y",0,Settings!$B$10/100))+2*N(Settings!$B$9),"")</f>
        <v/>
      </c>
      <c r="U16">
        <f>IF(ISNUMBER(T16),IF(T16&lt;R16,"Rail","Road"),"")</f>
        <v/>
      </c>
      <c r="V16" s="4">
        <f>IF(ISNUMBER(T16),ABS(R16-T16),"")</f>
        <v/>
      </c>
      <c r="W16">
        <f>IF(OR(ISNUMBER(SEARCH("siding",D16)),ISNUMBER(SEARCH("rcr",D16)),ISNUMBER(SEARCH("rail",D16)),ISNUMBER(SEARCH("wagon",D16))),"Yes - siding/rail in title","Check")</f>
        <v/>
      </c>
      <c r="X16">
        <f>Settings!$B$6</f>
        <v/>
      </c>
    </row>
    <row r="17">
      <c r="A17" t="inlineStr">
        <is>
          <t>A ≤150 km</t>
        </is>
      </c>
      <c r="B17" t="inlineStr">
        <is>
          <t>16687336</t>
        </is>
      </c>
      <c r="C17" t="inlineStr">
        <is>
          <t>GEM/2025/B/7005420</t>
        </is>
      </c>
      <c r="D17" t="inlineStr">
        <is>
          <t>handling &amp; transport service, transport service, handling service, hiring of pay loader and tippers for coal loading at saraipali transporta</t>
        </is>
      </c>
      <c r="E17" t="inlineStr">
        <is>
          <t>Coal transport (RCR / siding)</t>
        </is>
      </c>
      <c r="F17" t="inlineStr">
        <is>
          <t>South Eastern Coalfields Limited</t>
        </is>
      </c>
      <c r="G17" t="inlineStr">
        <is>
          <t>Chhattisgarh</t>
        </is>
      </c>
      <c r="H17" t="inlineStr">
        <is>
          <t>Korba</t>
        </is>
      </c>
      <c r="I17" t="inlineStr">
        <is>
          <t>2026-01-02</t>
        </is>
      </c>
      <c r="J17" t="inlineStr">
        <is>
          <t>AOC</t>
        </is>
      </c>
      <c r="K17" t="inlineStr">
        <is>
          <t>G K Associates</t>
        </is>
      </c>
      <c r="L17" t="inlineStr">
        <is>
          <t>G K Associates</t>
        </is>
      </c>
      <c r="M17" t="inlineStr">
        <is>
          <t>5 named / 30</t>
        </is>
      </c>
      <c r="N17" t="n">
        <v>329.87</v>
      </c>
      <c r="O17" t="n">
        <v>89</v>
      </c>
      <c r="P17">
        <f>MAX(O17,Settings!$B$13)*Settings!$B$7</f>
        <v/>
      </c>
      <c r="Q17">
        <f>MAX(O17,Settings!$B$13)*Settings!$B$8</f>
        <v/>
      </c>
      <c r="R17" s="4">
        <f>MAX(P17*Settings!$B$5,IF(ISNUMBER(Settings!$B$12),Settings!$B$12,0))*(1+IF(Settings!$B$11="Y",0,Settings!$B$10/100))+N(Settings!$B$9)</f>
        <v/>
      </c>
      <c r="S17" s="4">
        <f>IF(Q17&gt;1000,"beyond table",IFERROR(LOOKUP(Q17,'FOIS 145A'!$A$2:$A$22,'FOIS 145A'!$C$2:$C$22),""))</f>
        <v/>
      </c>
      <c r="T17" s="4">
        <f>IF(ISNUMBER(S17),S17*(1+IF(Settings!$B$11="Y",0,Settings!$B$10/100))+2*N(Settings!$B$9),"")</f>
        <v/>
      </c>
      <c r="U17">
        <f>IF(ISNUMBER(T17),IF(T17&lt;R17,"Rail","Road"),"")</f>
        <v/>
      </c>
      <c r="V17" s="4">
        <f>IF(ISNUMBER(T17),ABS(R17-T17),"")</f>
        <v/>
      </c>
      <c r="W17">
        <f>IF(OR(ISNUMBER(SEARCH("siding",D17)),ISNUMBER(SEARCH("rcr",D17)),ISNUMBER(SEARCH("rail",D17)),ISNUMBER(SEARCH("wagon",D17))),"Yes - siding/rail in title","Check")</f>
        <v/>
      </c>
      <c r="X17">
        <f>Settings!$B$6</f>
        <v/>
      </c>
    </row>
    <row r="18">
      <c r="A18" t="inlineStr">
        <is>
          <t>A ≤150 km</t>
        </is>
      </c>
      <c r="B18" t="inlineStr">
        <is>
          <t>16125779</t>
        </is>
      </c>
      <c r="C18" t="inlineStr">
        <is>
          <t>GEM/2025/B/6972824</t>
        </is>
      </c>
      <c r="D18" t="inlineStr">
        <is>
          <t>handling &amp; transport service, coal loading &amp; transportation from saraipali ocm to srk rl siding, korba</t>
        </is>
      </c>
      <c r="E18" t="inlineStr">
        <is>
          <t>Coal transport (RCR / siding)</t>
        </is>
      </c>
      <c r="F18" t="inlineStr">
        <is>
          <t>South Eastern Coalfields Limited</t>
        </is>
      </c>
      <c r="G18" t="inlineStr">
        <is>
          <t>Chhattisgarh</t>
        </is>
      </c>
      <c r="H18" t="inlineStr">
        <is>
          <t>Korba</t>
        </is>
      </c>
      <c r="I18" t="inlineStr">
        <is>
          <t>2025-12-22</t>
        </is>
      </c>
      <c r="J18" t="inlineStr">
        <is>
          <t>AOC</t>
        </is>
      </c>
      <c r="K18" t="inlineStr">
        <is>
          <t>M/S Chandan Kumar Singh</t>
        </is>
      </c>
      <c r="L18" t="inlineStr">
        <is>
          <t>G K Associates, Chandan Kumar Singh</t>
        </is>
      </c>
      <c r="M18" t="inlineStr">
        <is>
          <t>5 named / 7</t>
        </is>
      </c>
      <c r="N18" t="n">
        <v>1.58</v>
      </c>
      <c r="O18" t="n">
        <v>89</v>
      </c>
      <c r="P18">
        <f>MAX(O18,Settings!$B$13)*Settings!$B$7</f>
        <v/>
      </c>
      <c r="Q18">
        <f>MAX(O18,Settings!$B$13)*Settings!$B$8</f>
        <v/>
      </c>
      <c r="R18" s="4">
        <f>MAX(P18*Settings!$B$5,IF(ISNUMBER(Settings!$B$12),Settings!$B$12,0))*(1+IF(Settings!$B$11="Y",0,Settings!$B$10/100))+N(Settings!$B$9)</f>
        <v/>
      </c>
      <c r="S18" s="4">
        <f>IF(Q18&gt;1000,"beyond table",IFERROR(LOOKUP(Q18,'FOIS 145A'!$A$2:$A$22,'FOIS 145A'!$C$2:$C$22),""))</f>
        <v/>
      </c>
      <c r="T18" s="4">
        <f>IF(ISNUMBER(S18),S18*(1+IF(Settings!$B$11="Y",0,Settings!$B$10/100))+2*N(Settings!$B$9),"")</f>
        <v/>
      </c>
      <c r="U18">
        <f>IF(ISNUMBER(T18),IF(T18&lt;R18,"Rail","Road"),"")</f>
        <v/>
      </c>
      <c r="V18" s="4">
        <f>IF(ISNUMBER(T18),ABS(R18-T18),"")</f>
        <v/>
      </c>
      <c r="W18">
        <f>IF(OR(ISNUMBER(SEARCH("siding",D18)),ISNUMBER(SEARCH("rcr",D18)),ISNUMBER(SEARCH("rail",D18)),ISNUMBER(SEARCH("wagon",D18))),"Yes - siding/rail in title","Check")</f>
        <v/>
      </c>
      <c r="X18">
        <f>Settings!$B$6</f>
        <v/>
      </c>
    </row>
    <row r="19">
      <c r="A19" t="inlineStr">
        <is>
          <t>A ≤150 km</t>
        </is>
      </c>
      <c r="B19" t="inlineStr">
        <is>
          <t>16687380</t>
        </is>
      </c>
      <c r="C19" t="inlineStr">
        <is>
          <t>GEM/2026/B/7114126</t>
        </is>
      </c>
      <c r="D19" t="inlineStr">
        <is>
          <t>hiring of pay loaders and tippers for mechanical loading and transportation of coal at dipka oc expansion project, dipka area, secl for a pe</t>
        </is>
      </c>
      <c r="E19" t="inlineStr">
        <is>
          <t>Coal transport (road)</t>
        </is>
      </c>
      <c r="F19" t="inlineStr">
        <is>
          <t>South Eastern Coalfields Limited</t>
        </is>
      </c>
      <c r="G19" t="inlineStr">
        <is>
          <t>Chhattisgarh</t>
        </is>
      </c>
      <c r="H19" t="inlineStr">
        <is>
          <t>Korba</t>
        </is>
      </c>
      <c r="I19" t="inlineStr">
        <is>
          <t>2026-01-31</t>
        </is>
      </c>
      <c r="J19" t="inlineStr">
        <is>
          <t>AOC</t>
        </is>
      </c>
      <c r="K19" t="inlineStr">
        <is>
          <t>Maa Parwati Transport</t>
        </is>
      </c>
      <c r="L19" t="inlineStr"/>
      <c r="M19" t="inlineStr">
        <is>
          <t>5 named / 9</t>
        </is>
      </c>
      <c r="N19" t="n">
        <v>90.23999999999999</v>
      </c>
      <c r="O19" t="n">
        <v>89</v>
      </c>
      <c r="P19">
        <f>MAX(O19,Settings!$B$13)*Settings!$B$7</f>
        <v/>
      </c>
      <c r="Q19">
        <f>MAX(O19,Settings!$B$13)*Settings!$B$8</f>
        <v/>
      </c>
      <c r="R19" s="4">
        <f>MAX(P19*Settings!$B$5,IF(ISNUMBER(Settings!$B$12),Settings!$B$12,0))*(1+IF(Settings!$B$11="Y",0,Settings!$B$10/100))+N(Settings!$B$9)</f>
        <v/>
      </c>
      <c r="S19" s="4">
        <f>IF(Q19&gt;1000,"beyond table",IFERROR(LOOKUP(Q19,'FOIS 145A'!$A$2:$A$22,'FOIS 145A'!$C$2:$C$22),""))</f>
        <v/>
      </c>
      <c r="T19" s="4">
        <f>IF(ISNUMBER(S19),S19*(1+IF(Settings!$B$11="Y",0,Settings!$B$10/100))+2*N(Settings!$B$9),"")</f>
        <v/>
      </c>
      <c r="U19">
        <f>IF(ISNUMBER(T19),IF(T19&lt;R19,"Rail","Road"),"")</f>
        <v/>
      </c>
      <c r="V19" s="4">
        <f>IF(ISNUMBER(T19),ABS(R19-T19),"")</f>
        <v/>
      </c>
      <c r="W19">
        <f>IF(OR(ISNUMBER(SEARCH("siding",D19)),ISNUMBER(SEARCH("rcr",D19)),ISNUMBER(SEARCH("rail",D19)),ISNUMBER(SEARCH("wagon",D19))),"Yes - siding/rail in title","Check")</f>
        <v/>
      </c>
      <c r="X19">
        <f>Settings!$B$6</f>
        <v/>
      </c>
    </row>
    <row r="20">
      <c r="A20" t="inlineStr">
        <is>
          <t>A ≤150 km</t>
        </is>
      </c>
      <c r="B20" t="inlineStr">
        <is>
          <t>16786403</t>
        </is>
      </c>
      <c r="C20" t="inlineStr">
        <is>
          <t>GEM/2025/B/6972482</t>
        </is>
      </c>
      <c r="D20" t="inlineStr">
        <is>
          <t>hiring of pay loader, mobile crusher and tippers for transportation of coal at gevra area secl</t>
        </is>
      </c>
      <c r="E20" t="inlineStr">
        <is>
          <t>Coal transport (road)</t>
        </is>
      </c>
      <c r="F20" t="inlineStr">
        <is>
          <t>South Eastern Coalfields Limited</t>
        </is>
      </c>
      <c r="G20" t="inlineStr">
        <is>
          <t>Chhattisgarh</t>
        </is>
      </c>
      <c r="H20" t="inlineStr">
        <is>
          <t>Korba</t>
        </is>
      </c>
      <c r="I20" t="inlineStr">
        <is>
          <t>2026-01-01</t>
        </is>
      </c>
      <c r="J20" t="inlineStr">
        <is>
          <t>AOC</t>
        </is>
      </c>
      <c r="K20" t="inlineStr">
        <is>
          <t>Vikas Coal And Minerals Private Limited</t>
        </is>
      </c>
      <c r="L20" t="inlineStr">
        <is>
          <t>G K Associates</t>
        </is>
      </c>
      <c r="M20" t="inlineStr">
        <is>
          <t>5 named / 16</t>
        </is>
      </c>
      <c r="N20" t="n">
        <v>140.8</v>
      </c>
      <c r="O20" t="n">
        <v>89</v>
      </c>
      <c r="P20">
        <f>MAX(O20,Settings!$B$13)*Settings!$B$7</f>
        <v/>
      </c>
      <c r="Q20">
        <f>MAX(O20,Settings!$B$13)*Settings!$B$8</f>
        <v/>
      </c>
      <c r="R20" s="4">
        <f>MAX(P20*Settings!$B$5,IF(ISNUMBER(Settings!$B$12),Settings!$B$12,0))*(1+IF(Settings!$B$11="Y",0,Settings!$B$10/100))+N(Settings!$B$9)</f>
        <v/>
      </c>
      <c r="S20" s="4">
        <f>IF(Q20&gt;1000,"beyond table",IFERROR(LOOKUP(Q20,'FOIS 145A'!$A$2:$A$22,'FOIS 145A'!$C$2:$C$22),""))</f>
        <v/>
      </c>
      <c r="T20" s="4">
        <f>IF(ISNUMBER(S20),S20*(1+IF(Settings!$B$11="Y",0,Settings!$B$10/100))+2*N(Settings!$B$9),"")</f>
        <v/>
      </c>
      <c r="U20">
        <f>IF(ISNUMBER(T20),IF(T20&lt;R20,"Rail","Road"),"")</f>
        <v/>
      </c>
      <c r="V20" s="4">
        <f>IF(ISNUMBER(T20),ABS(R20-T20),"")</f>
        <v/>
      </c>
      <c r="W20">
        <f>IF(OR(ISNUMBER(SEARCH("siding",D20)),ISNUMBER(SEARCH("rcr",D20)),ISNUMBER(SEARCH("rail",D20)),ISNUMBER(SEARCH("wagon",D20))),"Yes - siding/rail in title","Check")</f>
        <v/>
      </c>
      <c r="X20">
        <f>Settings!$B$6</f>
        <v/>
      </c>
    </row>
    <row r="21">
      <c r="A21" t="inlineStr">
        <is>
          <t>A ≤150 km</t>
        </is>
      </c>
      <c r="B21" t="inlineStr">
        <is>
          <t>15830605</t>
        </is>
      </c>
      <c r="C21" t="inlineStr">
        <is>
          <t>GEM/2025/B/6869302</t>
        </is>
      </c>
      <c r="D21" t="inlineStr">
        <is>
          <t>loading and transportation of coal</t>
        </is>
      </c>
      <c r="E21" t="inlineStr">
        <is>
          <t>Coal transport (road)</t>
        </is>
      </c>
      <c r="F21" t="inlineStr">
        <is>
          <t>South Eastern Coalfields Limited</t>
        </is>
      </c>
      <c r="G21" t="inlineStr">
        <is>
          <t>Chhattisgarh</t>
        </is>
      </c>
      <c r="H21" t="inlineStr">
        <is>
          <t>Korba</t>
        </is>
      </c>
      <c r="I21" t="inlineStr">
        <is>
          <t>2025-11-28</t>
        </is>
      </c>
      <c r="J21" t="inlineStr">
        <is>
          <t>AOC</t>
        </is>
      </c>
      <c r="K21" t="inlineStr">
        <is>
          <t>G K Associates</t>
        </is>
      </c>
      <c r="L21" t="inlineStr">
        <is>
          <t>G K Associates</t>
        </is>
      </c>
      <c r="M21" t="inlineStr">
        <is>
          <t>3 named / 3</t>
        </is>
      </c>
      <c r="N21" t="n">
        <v>1.67</v>
      </c>
      <c r="O21" t="n">
        <v>89</v>
      </c>
      <c r="P21">
        <f>MAX(O21,Settings!$B$13)*Settings!$B$7</f>
        <v/>
      </c>
      <c r="Q21">
        <f>MAX(O21,Settings!$B$13)*Settings!$B$8</f>
        <v/>
      </c>
      <c r="R21" s="4">
        <f>MAX(P21*Settings!$B$5,IF(ISNUMBER(Settings!$B$12),Settings!$B$12,0))*(1+IF(Settings!$B$11="Y",0,Settings!$B$10/100))+N(Settings!$B$9)</f>
        <v/>
      </c>
      <c r="S21" s="4">
        <f>IF(Q21&gt;1000,"beyond table",IFERROR(LOOKUP(Q21,'FOIS 145A'!$A$2:$A$22,'FOIS 145A'!$C$2:$C$22),""))</f>
        <v/>
      </c>
      <c r="T21" s="4">
        <f>IF(ISNUMBER(S21),S21*(1+IF(Settings!$B$11="Y",0,Settings!$B$10/100))+2*N(Settings!$B$9),"")</f>
        <v/>
      </c>
      <c r="U21">
        <f>IF(ISNUMBER(T21),IF(T21&lt;R21,"Rail","Road"),"")</f>
        <v/>
      </c>
      <c r="V21" s="4">
        <f>IF(ISNUMBER(T21),ABS(R21-T21),"")</f>
        <v/>
      </c>
      <c r="W21">
        <f>IF(OR(ISNUMBER(SEARCH("siding",D21)),ISNUMBER(SEARCH("rcr",D21)),ISNUMBER(SEARCH("rail",D21)),ISNUMBER(SEARCH("wagon",D21))),"Yes - siding/rail in title","Check")</f>
        <v/>
      </c>
      <c r="X21">
        <f>Settings!$B$6</f>
        <v/>
      </c>
    </row>
    <row r="22">
      <c r="A22" t="inlineStr">
        <is>
          <t>A ≤150 km</t>
        </is>
      </c>
      <c r="B22" t="inlineStr">
        <is>
          <t>14287776</t>
        </is>
      </c>
      <c r="C22" t="inlineStr">
        <is>
          <t>GEM/2025/B/6337006</t>
        </is>
      </c>
      <c r="D22" t="inlineStr">
        <is>
          <t>loading and transportation</t>
        </is>
      </c>
      <c r="E22" t="inlineStr">
        <is>
          <t>Coal transport (road)</t>
        </is>
      </c>
      <c r="F22" t="inlineStr">
        <is>
          <t>South Eastern Coalfields Limited</t>
        </is>
      </c>
      <c r="G22" t="inlineStr">
        <is>
          <t>Chhattisgarh</t>
        </is>
      </c>
      <c r="H22" t="inlineStr">
        <is>
          <t>Korba</t>
        </is>
      </c>
      <c r="I22" t="inlineStr">
        <is>
          <t>2025-06-28</t>
        </is>
      </c>
      <c r="J22" t="inlineStr">
        <is>
          <t>AOC</t>
        </is>
      </c>
      <c r="K22" t="inlineStr">
        <is>
          <t>Rakesh Kumar Enterprises</t>
        </is>
      </c>
      <c r="L22" t="inlineStr">
        <is>
          <t>G K Associates</t>
        </is>
      </c>
      <c r="M22" t="inlineStr">
        <is>
          <t>5 named / 6</t>
        </is>
      </c>
      <c r="N22" t="n">
        <v>1.9</v>
      </c>
      <c r="O22" t="n">
        <v>89</v>
      </c>
      <c r="P22">
        <f>MAX(O22,Settings!$B$13)*Settings!$B$7</f>
        <v/>
      </c>
      <c r="Q22">
        <f>MAX(O22,Settings!$B$13)*Settings!$B$8</f>
        <v/>
      </c>
      <c r="R22" s="4">
        <f>MAX(P22*Settings!$B$5,IF(ISNUMBER(Settings!$B$12),Settings!$B$12,0))*(1+IF(Settings!$B$11="Y",0,Settings!$B$10/100))+N(Settings!$B$9)</f>
        <v/>
      </c>
      <c r="S22" s="4">
        <f>IF(Q22&gt;1000,"beyond table",IFERROR(LOOKUP(Q22,'FOIS 145A'!$A$2:$A$22,'FOIS 145A'!$C$2:$C$22),""))</f>
        <v/>
      </c>
      <c r="T22" s="4">
        <f>IF(ISNUMBER(S22),S22*(1+IF(Settings!$B$11="Y",0,Settings!$B$10/100))+2*N(Settings!$B$9),"")</f>
        <v/>
      </c>
      <c r="U22">
        <f>IF(ISNUMBER(T22),IF(T22&lt;R22,"Rail","Road"),"")</f>
        <v/>
      </c>
      <c r="V22" s="4">
        <f>IF(ISNUMBER(T22),ABS(R22-T22),"")</f>
        <v/>
      </c>
      <c r="W22">
        <f>IF(OR(ISNUMBER(SEARCH("siding",D22)),ISNUMBER(SEARCH("rcr",D22)),ISNUMBER(SEARCH("rail",D22)),ISNUMBER(SEARCH("wagon",D22))),"Yes - siding/rail in title","Check")</f>
        <v/>
      </c>
      <c r="X22">
        <f>Settings!$B$6</f>
        <v/>
      </c>
    </row>
    <row r="23">
      <c r="A23" t="inlineStr">
        <is>
          <t>A ≤150 km</t>
        </is>
      </c>
      <c r="B23" t="inlineStr">
        <is>
          <t>17670369</t>
        </is>
      </c>
      <c r="C23" t="inlineStr">
        <is>
          <t>GEM/2026/B/7435893</t>
        </is>
      </c>
      <c r="D23" t="inlineStr">
        <is>
          <t>handling service, excavator with crusher bucket system with screening and loading of coal into tippers at kusmunda oc kusmunda area</t>
        </is>
      </c>
      <c r="E23" t="inlineStr">
        <is>
          <t>Loading / handling / crushing</t>
        </is>
      </c>
      <c r="F23" t="inlineStr">
        <is>
          <t>South Eastern Coalfields Limited</t>
        </is>
      </c>
      <c r="G23" t="inlineStr">
        <is>
          <t>Chhattisgarh</t>
        </is>
      </c>
      <c r="H23" t="inlineStr">
        <is>
          <t>Korba</t>
        </is>
      </c>
      <c r="I23" t="inlineStr">
        <is>
          <t>2026-05-14</t>
        </is>
      </c>
      <c r="J23" t="inlineStr">
        <is>
          <t>AOC</t>
        </is>
      </c>
      <c r="K23" t="inlineStr">
        <is>
          <t>Fsnl Private Limited, Maa Sarwamangla Transport Company</t>
        </is>
      </c>
      <c r="L23" t="inlineStr"/>
      <c r="M23" t="inlineStr">
        <is>
          <t>5 named / 8</t>
        </is>
      </c>
      <c r="N23" t="n">
        <v>24.94</v>
      </c>
      <c r="O23" t="n">
        <v>89</v>
      </c>
      <c r="P23">
        <f>MAX(O23,Settings!$B$13)*Settings!$B$7</f>
        <v/>
      </c>
      <c r="Q23">
        <f>MAX(O23,Settings!$B$13)*Settings!$B$8</f>
        <v/>
      </c>
      <c r="R23" s="4">
        <f>MAX(P23*Settings!$B$5,IF(ISNUMBER(Settings!$B$12),Settings!$B$12,0))*(1+IF(Settings!$B$11="Y",0,Settings!$B$10/100))+N(Settings!$B$9)</f>
        <v/>
      </c>
      <c r="S23" s="4">
        <f>IF(Q23&gt;1000,"beyond table",IFERROR(LOOKUP(Q23,'FOIS 145A'!$A$2:$A$22,'FOIS 145A'!$C$2:$C$22),""))</f>
        <v/>
      </c>
      <c r="T23" s="4">
        <f>IF(ISNUMBER(S23),S23*(1+IF(Settings!$B$11="Y",0,Settings!$B$10/100))+2*N(Settings!$B$9),"")</f>
        <v/>
      </c>
      <c r="U23">
        <f>IF(ISNUMBER(T23),IF(T23&lt;R23,"Rail","Road"),"")</f>
        <v/>
      </c>
      <c r="V23" s="4">
        <f>IF(ISNUMBER(T23),ABS(R23-T23),"")</f>
        <v/>
      </c>
      <c r="W23">
        <f>IF(OR(ISNUMBER(SEARCH("siding",D23)),ISNUMBER(SEARCH("rcr",D23)),ISNUMBER(SEARCH("rail",D23)),ISNUMBER(SEARCH("wagon",D23))),"Yes - siding/rail in title","Check")</f>
        <v/>
      </c>
      <c r="X23">
        <f>Settings!$B$6</f>
        <v/>
      </c>
    </row>
    <row r="24">
      <c r="A24" t="inlineStr">
        <is>
          <t>A ≤150 km</t>
        </is>
      </c>
      <c r="B24" t="inlineStr">
        <is>
          <t>15659451</t>
        </is>
      </c>
      <c r="C24" t="inlineStr">
        <is>
          <t>GEM/2025/B/6627991</t>
        </is>
      </c>
      <c r="D24" t="inlineStr">
        <is>
          <t>handling service, transpor</t>
        </is>
      </c>
      <c r="E24" t="inlineStr">
        <is>
          <t>Loading / handling / crushing</t>
        </is>
      </c>
      <c r="F24" t="inlineStr">
        <is>
          <t>South Eastern Coalfields Limited</t>
        </is>
      </c>
      <c r="G24" t="inlineStr">
        <is>
          <t>Chhattisgarh</t>
        </is>
      </c>
      <c r="H24" t="inlineStr">
        <is>
          <t>Korba</t>
        </is>
      </c>
      <c r="I24" t="inlineStr">
        <is>
          <t>2025-09-23</t>
        </is>
      </c>
      <c r="J24" t="inlineStr">
        <is>
          <t>AOC</t>
        </is>
      </c>
      <c r="K24" t="inlineStr">
        <is>
          <t>Harsh Roadlines Private Limited</t>
        </is>
      </c>
      <c r="L24" t="inlineStr">
        <is>
          <t>Orissa Stevedores</t>
        </is>
      </c>
      <c r="M24" t="inlineStr">
        <is>
          <t>5 named / 8</t>
        </is>
      </c>
      <c r="N24" t="n">
        <v>82.78</v>
      </c>
      <c r="O24" t="n">
        <v>89</v>
      </c>
      <c r="P24">
        <f>MAX(O24,Settings!$B$13)*Settings!$B$7</f>
        <v/>
      </c>
      <c r="Q24">
        <f>MAX(O24,Settings!$B$13)*Settings!$B$8</f>
        <v/>
      </c>
      <c r="R24" s="4">
        <f>MAX(P24*Settings!$B$5,IF(ISNUMBER(Settings!$B$12),Settings!$B$12,0))*(1+IF(Settings!$B$11="Y",0,Settings!$B$10/100))+N(Settings!$B$9)</f>
        <v/>
      </c>
      <c r="S24" s="4">
        <f>IF(Q24&gt;1000,"beyond table",IFERROR(LOOKUP(Q24,'FOIS 145A'!$A$2:$A$22,'FOIS 145A'!$C$2:$C$22),""))</f>
        <v/>
      </c>
      <c r="T24" s="4">
        <f>IF(ISNUMBER(S24),S24*(1+IF(Settings!$B$11="Y",0,Settings!$B$10/100))+2*N(Settings!$B$9),"")</f>
        <v/>
      </c>
      <c r="U24">
        <f>IF(ISNUMBER(T24),IF(T24&lt;R24,"Rail","Road"),"")</f>
        <v/>
      </c>
      <c r="V24" s="4">
        <f>IF(ISNUMBER(T24),ABS(R24-T24),"")</f>
        <v/>
      </c>
      <c r="W24">
        <f>IF(OR(ISNUMBER(SEARCH("siding",D24)),ISNUMBER(SEARCH("rcr",D24)),ISNUMBER(SEARCH("rail",D24)),ISNUMBER(SEARCH("wagon",D24))),"Yes - siding/rail in title","Check")</f>
        <v/>
      </c>
      <c r="X24">
        <f>Settings!$B$6</f>
        <v/>
      </c>
    </row>
    <row r="25">
      <c r="A25" t="inlineStr">
        <is>
          <t>A ≤150 km</t>
        </is>
      </c>
      <c r="B25" t="inlineStr">
        <is>
          <t>17304517</t>
        </is>
      </c>
      <c r="C25" t="inlineStr">
        <is>
          <t>GEM/2026/B/7372908</t>
        </is>
      </c>
      <c r="D25" t="inlineStr">
        <is>
          <t>handling service, transport service, handling &amp; transport service, ob removal, composite work for ob removal coal cutting by surface miner a</t>
        </is>
      </c>
      <c r="E25" t="inlineStr">
        <is>
          <t>Mining services (OB / extraction)</t>
        </is>
      </c>
      <c r="F25" t="inlineStr">
        <is>
          <t>South Eastern Coalfields Limited</t>
        </is>
      </c>
      <c r="G25" t="inlineStr">
        <is>
          <t>Chhattisgarh</t>
        </is>
      </c>
      <c r="H25" t="inlineStr">
        <is>
          <t>Korba</t>
        </is>
      </c>
      <c r="I25" t="inlineStr">
        <is>
          <t>2026-04-23</t>
        </is>
      </c>
      <c r="J25" t="inlineStr">
        <is>
          <t>AOC</t>
        </is>
      </c>
      <c r="K25" t="inlineStr">
        <is>
          <t>Knr Constructions Limited</t>
        </is>
      </c>
      <c r="L25" t="inlineStr"/>
      <c r="M25" t="inlineStr">
        <is>
          <t>5 named / 8</t>
        </is>
      </c>
      <c r="N25" t="n">
        <v>3966.12</v>
      </c>
      <c r="O25" t="n">
        <v>89</v>
      </c>
      <c r="P25">
        <f>MAX(O25,Settings!$B$13)*Settings!$B$7</f>
        <v/>
      </c>
      <c r="Q25">
        <f>MAX(O25,Settings!$B$13)*Settings!$B$8</f>
        <v/>
      </c>
      <c r="R25" s="4">
        <f>MAX(P25*Settings!$B$5,IF(ISNUMBER(Settings!$B$12),Settings!$B$12,0))*(1+IF(Settings!$B$11="Y",0,Settings!$B$10/100))+N(Settings!$B$9)</f>
        <v/>
      </c>
      <c r="S25" s="4">
        <f>IF(Q25&gt;1000,"beyond table",IFERROR(LOOKUP(Q25,'FOIS 145A'!$A$2:$A$22,'FOIS 145A'!$C$2:$C$22),""))</f>
        <v/>
      </c>
      <c r="T25" s="4">
        <f>IF(ISNUMBER(S25),S25*(1+IF(Settings!$B$11="Y",0,Settings!$B$10/100))+2*N(Settings!$B$9),"")</f>
        <v/>
      </c>
      <c r="U25">
        <f>IF(ISNUMBER(T25),IF(T25&lt;R25,"Rail","Road"),"")</f>
        <v/>
      </c>
      <c r="V25" s="4">
        <f>IF(ISNUMBER(T25),ABS(R25-T25),"")</f>
        <v/>
      </c>
      <c r="W25">
        <f>IF(OR(ISNUMBER(SEARCH("siding",D25)),ISNUMBER(SEARCH("rcr",D25)),ISNUMBER(SEARCH("rail",D25)),ISNUMBER(SEARCH("wagon",D25))),"Yes - siding/rail in title","Check")</f>
        <v/>
      </c>
      <c r="X25">
        <f>Settings!$B$6</f>
        <v/>
      </c>
    </row>
    <row r="26">
      <c r="A26" t="inlineStr">
        <is>
          <t>A ≤150 km</t>
        </is>
      </c>
      <c r="B26" t="inlineStr">
        <is>
          <t>16765105</t>
        </is>
      </c>
      <c r="C26" t="inlineStr">
        <is>
          <t>GEM/2025/B/7003673</t>
        </is>
      </c>
      <c r="D26" t="inlineStr">
        <is>
          <t>ob removal, handling &amp; transport service, hiring of hemm for ob removal and coal drilling with loading and transportation at manikpur ocp ko</t>
        </is>
      </c>
      <c r="E26" t="inlineStr">
        <is>
          <t>Mining services (OB / extraction)</t>
        </is>
      </c>
      <c r="F26" t="inlineStr">
        <is>
          <t>South Eastern Coalfields Limited</t>
        </is>
      </c>
      <c r="G26" t="inlineStr">
        <is>
          <t>Chhattisgarh</t>
        </is>
      </c>
      <c r="H26" t="inlineStr">
        <is>
          <t>Korba</t>
        </is>
      </c>
      <c r="I26" t="inlineStr">
        <is>
          <t>2026-01-21</t>
        </is>
      </c>
      <c r="J26" t="inlineStr">
        <is>
          <t>AOC</t>
        </is>
      </c>
      <c r="K26" t="inlineStr">
        <is>
          <t>Orissa Stevedores Limited</t>
        </is>
      </c>
      <c r="L26" t="inlineStr"/>
      <c r="M26" t="inlineStr">
        <is>
          <t>5 named / 10</t>
        </is>
      </c>
      <c r="N26" t="n">
        <v>1775.85</v>
      </c>
      <c r="O26" t="n">
        <v>89</v>
      </c>
      <c r="P26">
        <f>MAX(O26,Settings!$B$13)*Settings!$B$7</f>
        <v/>
      </c>
      <c r="Q26">
        <f>MAX(O26,Settings!$B$13)*Settings!$B$8</f>
        <v/>
      </c>
      <c r="R26" s="4">
        <f>MAX(P26*Settings!$B$5,IF(ISNUMBER(Settings!$B$12),Settings!$B$12,0))*(1+IF(Settings!$B$11="Y",0,Settings!$B$10/100))+N(Settings!$B$9)</f>
        <v/>
      </c>
      <c r="S26" s="4">
        <f>IF(Q26&gt;1000,"beyond table",IFERROR(LOOKUP(Q26,'FOIS 145A'!$A$2:$A$22,'FOIS 145A'!$C$2:$C$22),""))</f>
        <v/>
      </c>
      <c r="T26" s="4">
        <f>IF(ISNUMBER(S26),S26*(1+IF(Settings!$B$11="Y",0,Settings!$B$10/100))+2*N(Settings!$B$9),"")</f>
        <v/>
      </c>
      <c r="U26">
        <f>IF(ISNUMBER(T26),IF(T26&lt;R26,"Rail","Road"),"")</f>
        <v/>
      </c>
      <c r="V26" s="4">
        <f>IF(ISNUMBER(T26),ABS(R26-T26),"")</f>
        <v/>
      </c>
      <c r="W26">
        <f>IF(OR(ISNUMBER(SEARCH("siding",D26)),ISNUMBER(SEARCH("rcr",D26)),ISNUMBER(SEARCH("rail",D26)),ISNUMBER(SEARCH("wagon",D26))),"Yes - siding/rail in title","Check")</f>
        <v/>
      </c>
      <c r="X26">
        <f>Settings!$B$6</f>
        <v/>
      </c>
    </row>
    <row r="27">
      <c r="A27" t="inlineStr">
        <is>
          <t>A ≤150 km</t>
        </is>
      </c>
      <c r="B27" t="inlineStr">
        <is>
          <t>16245601</t>
        </is>
      </c>
      <c r="C27" t="inlineStr">
        <is>
          <t>GEM/2025/B/6729097</t>
        </is>
      </c>
      <c r="D27" t="inlineStr">
        <is>
          <t>hiring of pay loader incorporated with weight sensors for mechanical transfer of coal into railway wagons for a quantity of 17520000 te with</t>
        </is>
      </c>
      <c r="E27" t="inlineStr">
        <is>
          <t>Other</t>
        </is>
      </c>
      <c r="F27" t="inlineStr">
        <is>
          <t>South Eastern Coalfields Limited</t>
        </is>
      </c>
      <c r="G27" t="inlineStr">
        <is>
          <t>Chhattisgarh</t>
        </is>
      </c>
      <c r="H27" t="inlineStr">
        <is>
          <t>Korba</t>
        </is>
      </c>
      <c r="I27" t="inlineStr">
        <is>
          <t>2025-10-18</t>
        </is>
      </c>
      <c r="J27" t="inlineStr">
        <is>
          <t>AOC</t>
        </is>
      </c>
      <c r="K27" t="inlineStr">
        <is>
          <t>Sat Kartar Logistics</t>
        </is>
      </c>
      <c r="L27" t="inlineStr"/>
      <c r="M27" t="inlineStr">
        <is>
          <t>5 named / 19</t>
        </is>
      </c>
      <c r="N27" t="n">
        <v>14.89</v>
      </c>
      <c r="O27" t="n">
        <v>89</v>
      </c>
      <c r="P27">
        <f>MAX(O27,Settings!$B$13)*Settings!$B$7</f>
        <v/>
      </c>
      <c r="Q27">
        <f>MAX(O27,Settings!$B$13)*Settings!$B$8</f>
        <v/>
      </c>
      <c r="R27" s="4">
        <f>MAX(P27*Settings!$B$5,IF(ISNUMBER(Settings!$B$12),Settings!$B$12,0))*(1+IF(Settings!$B$11="Y",0,Settings!$B$10/100))+N(Settings!$B$9)</f>
        <v/>
      </c>
      <c r="S27" s="4">
        <f>IF(Q27&gt;1000,"beyond table",IFERROR(LOOKUP(Q27,'FOIS 145A'!$A$2:$A$22,'FOIS 145A'!$C$2:$C$22),""))</f>
        <v/>
      </c>
      <c r="T27" s="4">
        <f>IF(ISNUMBER(S27),S27*(1+IF(Settings!$B$11="Y",0,Settings!$B$10/100))+2*N(Settings!$B$9),"")</f>
        <v/>
      </c>
      <c r="U27">
        <f>IF(ISNUMBER(T27),IF(T27&lt;R27,"Rail","Road"),"")</f>
        <v/>
      </c>
      <c r="V27" s="4">
        <f>IF(ISNUMBER(T27),ABS(R27-T27),"")</f>
        <v/>
      </c>
      <c r="W27">
        <f>IF(OR(ISNUMBER(SEARCH("siding",D27)),ISNUMBER(SEARCH("rcr",D27)),ISNUMBER(SEARCH("rail",D27)),ISNUMBER(SEARCH("wagon",D27))),"Yes - siding/rail in title","Check")</f>
        <v/>
      </c>
      <c r="X27">
        <f>Settings!$B$6</f>
        <v/>
      </c>
    </row>
    <row r="28">
      <c r="A28" t="inlineStr">
        <is>
          <t>A ≤150 km</t>
        </is>
      </c>
      <c r="B28" t="inlineStr">
        <is>
          <t>12743621</t>
        </is>
      </c>
      <c r="C28" t="inlineStr">
        <is>
          <t>GEM/2025/B/5926593</t>
        </is>
      </c>
      <c r="D28" t="inlineStr">
        <is>
          <t>hiring of payloaders and t</t>
        </is>
      </c>
      <c r="E28" t="inlineStr">
        <is>
          <t>Other</t>
        </is>
      </c>
      <c r="F28" t="inlineStr">
        <is>
          <t>South Eastern Coalfields Limited</t>
        </is>
      </c>
      <c r="G28" t="inlineStr">
        <is>
          <t>Chhattisgarh</t>
        </is>
      </c>
      <c r="H28" t="inlineStr">
        <is>
          <t>Korba</t>
        </is>
      </c>
      <c r="I28" t="inlineStr">
        <is>
          <t>2025-02-24</t>
        </is>
      </c>
      <c r="J28" t="inlineStr">
        <is>
          <t>AOC</t>
        </is>
      </c>
      <c r="K28" t="inlineStr">
        <is>
          <t>Harsh Roadlines Private Limited</t>
        </is>
      </c>
      <c r="L28" t="inlineStr"/>
      <c r="M28" t="inlineStr">
        <is>
          <t>5 named / 7</t>
        </is>
      </c>
      <c r="N28" t="n">
        <v>2.41</v>
      </c>
      <c r="O28" t="n">
        <v>89</v>
      </c>
      <c r="P28">
        <f>MAX(O28,Settings!$B$13)*Settings!$B$7</f>
        <v/>
      </c>
      <c r="Q28">
        <f>MAX(O28,Settings!$B$13)*Settings!$B$8</f>
        <v/>
      </c>
      <c r="R28" s="4">
        <f>MAX(P28*Settings!$B$5,IF(ISNUMBER(Settings!$B$12),Settings!$B$12,0))*(1+IF(Settings!$B$11="Y",0,Settings!$B$10/100))+N(Settings!$B$9)</f>
        <v/>
      </c>
      <c r="S28" s="4">
        <f>IF(Q28&gt;1000,"beyond table",IFERROR(LOOKUP(Q28,'FOIS 145A'!$A$2:$A$22,'FOIS 145A'!$C$2:$C$22),""))</f>
        <v/>
      </c>
      <c r="T28" s="4">
        <f>IF(ISNUMBER(S28),S28*(1+IF(Settings!$B$11="Y",0,Settings!$B$10/100))+2*N(Settings!$B$9),"")</f>
        <v/>
      </c>
      <c r="U28">
        <f>IF(ISNUMBER(T28),IF(T28&lt;R28,"Rail","Road"),"")</f>
        <v/>
      </c>
      <c r="V28" s="4">
        <f>IF(ISNUMBER(T28),ABS(R28-T28),"")</f>
        <v/>
      </c>
      <c r="W28">
        <f>IF(OR(ISNUMBER(SEARCH("siding",D28)),ISNUMBER(SEARCH("rcr",D28)),ISNUMBER(SEARCH("rail",D28)),ISNUMBER(SEARCH("wagon",D28))),"Yes - siding/rail in title","Check")</f>
        <v/>
      </c>
      <c r="X28">
        <f>Settings!$B$6</f>
        <v/>
      </c>
    </row>
    <row r="29">
      <c r="A29" t="inlineStr">
        <is>
          <t>A ≤150 km</t>
        </is>
      </c>
      <c r="B29" t="inlineStr">
        <is>
          <t>13684513</t>
        </is>
      </c>
      <c r="C29" t="inlineStr">
        <is>
          <t>GEM/2025/B/6210677</t>
        </is>
      </c>
      <c r="D29" t="inlineStr">
        <is>
          <t>handling &amp; transport servi</t>
        </is>
      </c>
      <c r="E29" t="inlineStr">
        <is>
          <t>Coal transport (road)</t>
        </is>
      </c>
      <c r="F29" t="inlineStr">
        <is>
          <t>South Eastern Coalfields Limited</t>
        </is>
      </c>
      <c r="G29" t="inlineStr">
        <is>
          <t>Chhattisgarh</t>
        </is>
      </c>
      <c r="H29" t="inlineStr">
        <is>
          <t>Bilaspur</t>
        </is>
      </c>
      <c r="I29" t="inlineStr">
        <is>
          <t>2025-05-24</t>
        </is>
      </c>
      <c r="J29" t="inlineStr">
        <is>
          <t>AOC</t>
        </is>
      </c>
      <c r="K29" t="inlineStr">
        <is>
          <t>Sat Kartar Logistics</t>
        </is>
      </c>
      <c r="L29" t="inlineStr">
        <is>
          <t>G K Associates</t>
        </is>
      </c>
      <c r="M29" t="inlineStr">
        <is>
          <t>5 named / 16</t>
        </is>
      </c>
      <c r="N29" t="n">
        <v>63.2</v>
      </c>
      <c r="O29" t="n">
        <v>130</v>
      </c>
      <c r="P29">
        <f>MAX(O29,Settings!$B$13)*Settings!$B$7</f>
        <v/>
      </c>
      <c r="Q29">
        <f>MAX(O29,Settings!$B$13)*Settings!$B$8</f>
        <v/>
      </c>
      <c r="R29" s="4">
        <f>MAX(P29*Settings!$B$5,IF(ISNUMBER(Settings!$B$12),Settings!$B$12,0))*(1+IF(Settings!$B$11="Y",0,Settings!$B$10/100))+N(Settings!$B$9)</f>
        <v/>
      </c>
      <c r="S29" s="4">
        <f>IF(Q29&gt;1000,"beyond table",IFERROR(LOOKUP(Q29,'FOIS 145A'!$A$2:$A$22,'FOIS 145A'!$C$2:$C$22),""))</f>
        <v/>
      </c>
      <c r="T29" s="4">
        <f>IF(ISNUMBER(S29),S29*(1+IF(Settings!$B$11="Y",0,Settings!$B$10/100))+2*N(Settings!$B$9),"")</f>
        <v/>
      </c>
      <c r="U29">
        <f>IF(ISNUMBER(T29),IF(T29&lt;R29,"Rail","Road"),"")</f>
        <v/>
      </c>
      <c r="V29" s="4">
        <f>IF(ISNUMBER(T29),ABS(R29-T29),"")</f>
        <v/>
      </c>
      <c r="W29">
        <f>IF(OR(ISNUMBER(SEARCH("siding",D29)),ISNUMBER(SEARCH("rcr",D29)),ISNUMBER(SEARCH("rail",D29)),ISNUMBER(SEARCH("wagon",D29))),"Yes - siding/rail in title","Check")</f>
        <v/>
      </c>
      <c r="X29">
        <f>Settings!$B$6</f>
        <v/>
      </c>
    </row>
    <row r="30">
      <c r="A30" t="inlineStr">
        <is>
          <t>A ≤150 km</t>
        </is>
      </c>
      <c r="B30" t="inlineStr">
        <is>
          <t>12395784</t>
        </is>
      </c>
      <c r="C30" t="inlineStr">
        <is>
          <t>GEM/2024/B/5755957</t>
        </is>
      </c>
      <c r="D30" t="inlineStr">
        <is>
          <t>loading  transportation of</t>
        </is>
      </c>
      <c r="E30" t="inlineStr">
        <is>
          <t>Coal transport (road)</t>
        </is>
      </c>
      <c r="F30" t="inlineStr">
        <is>
          <t>South Eastern Coalfields Limited</t>
        </is>
      </c>
      <c r="G30" t="inlineStr">
        <is>
          <t>Chhattisgarh</t>
        </is>
      </c>
      <c r="H30" t="inlineStr">
        <is>
          <t>Bilaspur</t>
        </is>
      </c>
      <c r="I30" t="inlineStr">
        <is>
          <t>2025-01-13</t>
        </is>
      </c>
      <c r="J30" t="inlineStr">
        <is>
          <t>AOC</t>
        </is>
      </c>
      <c r="K30" t="inlineStr">
        <is>
          <t>Agro Fuel Corporation</t>
        </is>
      </c>
      <c r="L30" t="inlineStr">
        <is>
          <t>G K Associates</t>
        </is>
      </c>
      <c r="M30" t="inlineStr">
        <is>
          <t>3 named / 3</t>
        </is>
      </c>
      <c r="N30" t="n">
        <v>13.4</v>
      </c>
      <c r="O30" t="n">
        <v>130</v>
      </c>
      <c r="P30">
        <f>MAX(O30,Settings!$B$13)*Settings!$B$7</f>
        <v/>
      </c>
      <c r="Q30">
        <f>MAX(O30,Settings!$B$13)*Settings!$B$8</f>
        <v/>
      </c>
      <c r="R30" s="4">
        <f>MAX(P30*Settings!$B$5,IF(ISNUMBER(Settings!$B$12),Settings!$B$12,0))*(1+IF(Settings!$B$11="Y",0,Settings!$B$10/100))+N(Settings!$B$9)</f>
        <v/>
      </c>
      <c r="S30" s="4">
        <f>IF(Q30&gt;1000,"beyond table",IFERROR(LOOKUP(Q30,'FOIS 145A'!$A$2:$A$22,'FOIS 145A'!$C$2:$C$22),""))</f>
        <v/>
      </c>
      <c r="T30" s="4">
        <f>IF(ISNUMBER(S30),S30*(1+IF(Settings!$B$11="Y",0,Settings!$B$10/100))+2*N(Settings!$B$9),"")</f>
        <v/>
      </c>
      <c r="U30">
        <f>IF(ISNUMBER(T30),IF(T30&lt;R30,"Rail","Road"),"")</f>
        <v/>
      </c>
      <c r="V30" s="4">
        <f>IF(ISNUMBER(T30),ABS(R30-T30),"")</f>
        <v/>
      </c>
      <c r="W30">
        <f>IF(OR(ISNUMBER(SEARCH("siding",D30)),ISNUMBER(SEARCH("rcr",D30)),ISNUMBER(SEARCH("rail",D30)),ISNUMBER(SEARCH("wagon",D30))),"Yes - siding/rail in title","Check")</f>
        <v/>
      </c>
      <c r="X30">
        <f>Settings!$B$6</f>
        <v/>
      </c>
    </row>
    <row r="31">
      <c r="A31" t="inlineStr">
        <is>
          <t>A ≤150 km</t>
        </is>
      </c>
      <c r="B31" t="inlineStr">
        <is>
          <t>16797732</t>
        </is>
      </c>
      <c r="C31" t="inlineStr">
        <is>
          <t>GEM/2026/B/7219163</t>
        </is>
      </c>
      <c r="D31" t="inlineStr">
        <is>
          <t>proposal for hiring of tippers for transportation of 63000 tes of g 7 grade coal from ketki ug mine stock yard to mahan ii wharf wall siding</t>
        </is>
      </c>
      <c r="E31" t="inlineStr">
        <is>
          <t>Coal transport (RCR / siding)</t>
        </is>
      </c>
      <c r="F31" t="inlineStr">
        <is>
          <t>South Eastern Coalfields Limited</t>
        </is>
      </c>
      <c r="G31" t="inlineStr">
        <is>
          <t>Chhattisgarh</t>
        </is>
      </c>
      <c r="H31" t="inlineStr">
        <is>
          <t>Surguja</t>
        </is>
      </c>
      <c r="I31" t="inlineStr">
        <is>
          <t>2026-02-26</t>
        </is>
      </c>
      <c r="J31" t="inlineStr">
        <is>
          <t>AOC</t>
        </is>
      </c>
      <c r="K31" t="inlineStr">
        <is>
          <t>M/S Chandan Kumar Singh</t>
        </is>
      </c>
      <c r="L31" t="inlineStr">
        <is>
          <t>G K Associates, Chandan Kumar Singh</t>
        </is>
      </c>
      <c r="M31" t="inlineStr">
        <is>
          <t>5 named / 6</t>
        </is>
      </c>
      <c r="N31" t="n">
        <v>1.21</v>
      </c>
      <c r="O31" t="n">
        <v>137</v>
      </c>
      <c r="P31">
        <f>MAX(O31,Settings!$B$13)*Settings!$B$7</f>
        <v/>
      </c>
      <c r="Q31">
        <f>MAX(O31,Settings!$B$13)*Settings!$B$8</f>
        <v/>
      </c>
      <c r="R31" s="4">
        <f>MAX(P31*Settings!$B$5,IF(ISNUMBER(Settings!$B$12),Settings!$B$12,0))*(1+IF(Settings!$B$11="Y",0,Settings!$B$10/100))+N(Settings!$B$9)</f>
        <v/>
      </c>
      <c r="S31" s="4">
        <f>IF(Q31&gt;1000,"beyond table",IFERROR(LOOKUP(Q31,'FOIS 145A'!$A$2:$A$22,'FOIS 145A'!$C$2:$C$22),""))</f>
        <v/>
      </c>
      <c r="T31" s="4">
        <f>IF(ISNUMBER(S31),S31*(1+IF(Settings!$B$11="Y",0,Settings!$B$10/100))+2*N(Settings!$B$9),"")</f>
        <v/>
      </c>
      <c r="U31">
        <f>IF(ISNUMBER(T31),IF(T31&lt;R31,"Rail","Road"),"")</f>
        <v/>
      </c>
      <c r="V31" s="4">
        <f>IF(ISNUMBER(T31),ABS(R31-T31),"")</f>
        <v/>
      </c>
      <c r="W31">
        <f>IF(OR(ISNUMBER(SEARCH("siding",D31)),ISNUMBER(SEARCH("rcr",D31)),ISNUMBER(SEARCH("rail",D31)),ISNUMBER(SEARCH("wagon",D31))),"Yes - siding/rail in title","Check")</f>
        <v/>
      </c>
      <c r="X31">
        <f>Settings!$B$6</f>
        <v/>
      </c>
    </row>
    <row r="32">
      <c r="A32" t="inlineStr">
        <is>
          <t>A ≤150 km</t>
        </is>
      </c>
      <c r="B32" t="inlineStr">
        <is>
          <t>16845426</t>
        </is>
      </c>
      <c r="C32" t="inlineStr">
        <is>
          <t>GEM/2026/B/7213819</t>
        </is>
      </c>
      <c r="D32" t="inlineStr">
        <is>
          <t>proposal for hiring of pay loader and tippers for loading and transportation of 56000 te of coal from amera ocp to bishrampur wharf wall sid</t>
        </is>
      </c>
      <c r="E32" t="inlineStr">
        <is>
          <t>Coal transport (RCR / siding)</t>
        </is>
      </c>
      <c r="F32" t="inlineStr">
        <is>
          <t>South Eastern Coalfields Limited</t>
        </is>
      </c>
      <c r="G32" t="inlineStr">
        <is>
          <t>Chhattisgarh</t>
        </is>
      </c>
      <c r="H32" t="inlineStr">
        <is>
          <t>Surguja</t>
        </is>
      </c>
      <c r="I32" t="inlineStr">
        <is>
          <t>2026-02-25</t>
        </is>
      </c>
      <c r="J32" t="inlineStr">
        <is>
          <t>AOC</t>
        </is>
      </c>
      <c r="K32" t="inlineStr">
        <is>
          <t>M/S Chandan Kumar Singh</t>
        </is>
      </c>
      <c r="L32" t="inlineStr">
        <is>
          <t>G K Associates, Chandan Kumar Singh</t>
        </is>
      </c>
      <c r="M32" t="inlineStr">
        <is>
          <t>5 named / 5</t>
        </is>
      </c>
      <c r="N32" t="n">
        <v>1.77</v>
      </c>
      <c r="O32" t="n">
        <v>137</v>
      </c>
      <c r="P32">
        <f>MAX(O32,Settings!$B$13)*Settings!$B$7</f>
        <v/>
      </c>
      <c r="Q32">
        <f>MAX(O32,Settings!$B$13)*Settings!$B$8</f>
        <v/>
      </c>
      <c r="R32" s="4">
        <f>MAX(P32*Settings!$B$5,IF(ISNUMBER(Settings!$B$12),Settings!$B$12,0))*(1+IF(Settings!$B$11="Y",0,Settings!$B$10/100))+N(Settings!$B$9)</f>
        <v/>
      </c>
      <c r="S32" s="4">
        <f>IF(Q32&gt;1000,"beyond table",IFERROR(LOOKUP(Q32,'FOIS 145A'!$A$2:$A$22,'FOIS 145A'!$C$2:$C$22),""))</f>
        <v/>
      </c>
      <c r="T32" s="4">
        <f>IF(ISNUMBER(S32),S32*(1+IF(Settings!$B$11="Y",0,Settings!$B$10/100))+2*N(Settings!$B$9),"")</f>
        <v/>
      </c>
      <c r="U32">
        <f>IF(ISNUMBER(T32),IF(T32&lt;R32,"Rail","Road"),"")</f>
        <v/>
      </c>
      <c r="V32" s="4">
        <f>IF(ISNUMBER(T32),ABS(R32-T32),"")</f>
        <v/>
      </c>
      <c r="W32">
        <f>IF(OR(ISNUMBER(SEARCH("siding",D32)),ISNUMBER(SEARCH("rcr",D32)),ISNUMBER(SEARCH("rail",D32)),ISNUMBER(SEARCH("wagon",D32))),"Yes - siding/rail in title","Check")</f>
        <v/>
      </c>
      <c r="X32">
        <f>Settings!$B$6</f>
        <v/>
      </c>
    </row>
    <row r="33">
      <c r="A33" t="inlineStr">
        <is>
          <t>A ≤150 km</t>
        </is>
      </c>
      <c r="B33" t="inlineStr">
        <is>
          <t>17262022</t>
        </is>
      </c>
      <c r="C33" t="inlineStr">
        <is>
          <t>GEM/2026/B/7140468</t>
        </is>
      </c>
      <c r="D33" t="inlineStr">
        <is>
          <t>wagon loading, loading and transportation of coal at amgaon ocp bishrampur area for 3650 days</t>
        </is>
      </c>
      <c r="E33" t="inlineStr">
        <is>
          <t>Coal transport (RCR / siding)</t>
        </is>
      </c>
      <c r="F33" t="inlineStr">
        <is>
          <t>South Eastern Coalfields Limited</t>
        </is>
      </c>
      <c r="G33" t="inlineStr">
        <is>
          <t>Chhattisgarh</t>
        </is>
      </c>
      <c r="H33" t="inlineStr">
        <is>
          <t>Surguja</t>
        </is>
      </c>
      <c r="I33" t="inlineStr">
        <is>
          <t>2026-02-16</t>
        </is>
      </c>
      <c r="J33" t="inlineStr">
        <is>
          <t>AOC</t>
        </is>
      </c>
      <c r="K33" t="inlineStr">
        <is>
          <t>Surguja Bricks Industries</t>
        </is>
      </c>
      <c r="L33" t="inlineStr"/>
      <c r="M33" t="inlineStr">
        <is>
          <t>5 named / 17</t>
        </is>
      </c>
      <c r="N33" t="n">
        <v>104.53</v>
      </c>
      <c r="O33" t="n">
        <v>137</v>
      </c>
      <c r="P33">
        <f>MAX(O33,Settings!$B$13)*Settings!$B$7</f>
        <v/>
      </c>
      <c r="Q33">
        <f>MAX(O33,Settings!$B$13)*Settings!$B$8</f>
        <v/>
      </c>
      <c r="R33" s="4">
        <f>MAX(P33*Settings!$B$5,IF(ISNUMBER(Settings!$B$12),Settings!$B$12,0))*(1+IF(Settings!$B$11="Y",0,Settings!$B$10/100))+N(Settings!$B$9)</f>
        <v/>
      </c>
      <c r="S33" s="4">
        <f>IF(Q33&gt;1000,"beyond table",IFERROR(LOOKUP(Q33,'FOIS 145A'!$A$2:$A$22,'FOIS 145A'!$C$2:$C$22),""))</f>
        <v/>
      </c>
      <c r="T33" s="4">
        <f>IF(ISNUMBER(S33),S33*(1+IF(Settings!$B$11="Y",0,Settings!$B$10/100))+2*N(Settings!$B$9),"")</f>
        <v/>
      </c>
      <c r="U33">
        <f>IF(ISNUMBER(T33),IF(T33&lt;R33,"Rail","Road"),"")</f>
        <v/>
      </c>
      <c r="V33" s="4">
        <f>IF(ISNUMBER(T33),ABS(R33-T33),"")</f>
        <v/>
      </c>
      <c r="W33">
        <f>IF(OR(ISNUMBER(SEARCH("siding",D33)),ISNUMBER(SEARCH("rcr",D33)),ISNUMBER(SEARCH("rail",D33)),ISNUMBER(SEARCH("wagon",D33))),"Yes - siding/rail in title","Check")</f>
        <v/>
      </c>
      <c r="X33">
        <f>Settings!$B$6</f>
        <v/>
      </c>
    </row>
    <row r="34">
      <c r="A34" t="inlineStr">
        <is>
          <t>A ≤150 km</t>
        </is>
      </c>
      <c r="B34" t="inlineStr">
        <is>
          <t>17281416</t>
        </is>
      </c>
      <c r="C34" t="inlineStr">
        <is>
          <t>GEM/2026/B/7106097</t>
        </is>
      </c>
      <c r="D34" t="inlineStr">
        <is>
          <t>transportaion of coal from ketki ug mine to mahan 2 and jainagar siding for period of 270 and 4648 days respectively</t>
        </is>
      </c>
      <c r="E34" t="inlineStr">
        <is>
          <t>Coal transport (RCR / siding)</t>
        </is>
      </c>
      <c r="F34" t="inlineStr">
        <is>
          <t>South Eastern Coalfields Limited</t>
        </is>
      </c>
      <c r="G34" t="inlineStr">
        <is>
          <t>Chhattisgarh</t>
        </is>
      </c>
      <c r="H34" t="inlineStr">
        <is>
          <t>Surguja</t>
        </is>
      </c>
      <c r="I34" t="inlineStr">
        <is>
          <t>2026-01-29</t>
        </is>
      </c>
      <c r="J34" t="inlineStr">
        <is>
          <t>AOC</t>
        </is>
      </c>
      <c r="K34" t="inlineStr">
        <is>
          <t>Narendra Singh Bindra</t>
        </is>
      </c>
      <c r="L34" t="inlineStr"/>
      <c r="M34" t="inlineStr">
        <is>
          <t>5 named / 12</t>
        </is>
      </c>
      <c r="N34" t="n">
        <v>70.66</v>
      </c>
      <c r="O34" t="n">
        <v>137</v>
      </c>
      <c r="P34">
        <f>MAX(O34,Settings!$B$13)*Settings!$B$7</f>
        <v/>
      </c>
      <c r="Q34">
        <f>MAX(O34,Settings!$B$13)*Settings!$B$8</f>
        <v/>
      </c>
      <c r="R34" s="4">
        <f>MAX(P34*Settings!$B$5,IF(ISNUMBER(Settings!$B$12),Settings!$B$12,0))*(1+IF(Settings!$B$11="Y",0,Settings!$B$10/100))+N(Settings!$B$9)</f>
        <v/>
      </c>
      <c r="S34" s="4">
        <f>IF(Q34&gt;1000,"beyond table",IFERROR(LOOKUP(Q34,'FOIS 145A'!$A$2:$A$22,'FOIS 145A'!$C$2:$C$22),""))</f>
        <v/>
      </c>
      <c r="T34" s="4">
        <f>IF(ISNUMBER(S34),S34*(1+IF(Settings!$B$11="Y",0,Settings!$B$10/100))+2*N(Settings!$B$9),"")</f>
        <v/>
      </c>
      <c r="U34">
        <f>IF(ISNUMBER(T34),IF(T34&lt;R34,"Rail","Road"),"")</f>
        <v/>
      </c>
      <c r="V34" s="4">
        <f>IF(ISNUMBER(T34),ABS(R34-T34),"")</f>
        <v/>
      </c>
      <c r="W34">
        <f>IF(OR(ISNUMBER(SEARCH("siding",D34)),ISNUMBER(SEARCH("rcr",D34)),ISNUMBER(SEARCH("rail",D34)),ISNUMBER(SEARCH("wagon",D34))),"Yes - siding/rail in title","Check")</f>
        <v/>
      </c>
      <c r="X34">
        <f>Settings!$B$6</f>
        <v/>
      </c>
    </row>
    <row r="35">
      <c r="A35" t="inlineStr">
        <is>
          <t>A ≤150 km</t>
        </is>
      </c>
      <c r="B35" t="inlineStr">
        <is>
          <t>18266289</t>
        </is>
      </c>
      <c r="C35" t="inlineStr">
        <is>
          <t>GEM/2026/B/7685060</t>
        </is>
      </c>
      <c r="D35" t="inlineStr">
        <is>
          <t>loading and transportation of coal at amera ocp</t>
        </is>
      </c>
      <c r="E35" t="inlineStr">
        <is>
          <t>Coal transport (road)</t>
        </is>
      </c>
      <c r="F35" t="inlineStr">
        <is>
          <t>South Eastern Coalfields Limited</t>
        </is>
      </c>
      <c r="G35" t="inlineStr">
        <is>
          <t>Chhattisgarh</t>
        </is>
      </c>
      <c r="H35" t="inlineStr">
        <is>
          <t>Surguja</t>
        </is>
      </c>
      <c r="I35" t="inlineStr">
        <is>
          <t>2026-07-06</t>
        </is>
      </c>
      <c r="J35" t="inlineStr">
        <is>
          <t>AOC</t>
        </is>
      </c>
      <c r="K35" t="inlineStr">
        <is>
          <t>Sri Constructions</t>
        </is>
      </c>
      <c r="L35" t="inlineStr"/>
      <c r="M35" t="inlineStr">
        <is>
          <t>5 named / 21</t>
        </is>
      </c>
      <c r="N35" t="n">
        <v>139.96</v>
      </c>
      <c r="O35" t="n">
        <v>137</v>
      </c>
      <c r="P35">
        <f>MAX(O35,Settings!$B$13)*Settings!$B$7</f>
        <v/>
      </c>
      <c r="Q35">
        <f>MAX(O35,Settings!$B$13)*Settings!$B$8</f>
        <v/>
      </c>
      <c r="R35" s="4">
        <f>MAX(P35*Settings!$B$5,IF(ISNUMBER(Settings!$B$12),Settings!$B$12,0))*(1+IF(Settings!$B$11="Y",0,Settings!$B$10/100))+N(Settings!$B$9)</f>
        <v/>
      </c>
      <c r="S35" s="4">
        <f>IF(Q35&gt;1000,"beyond table",IFERROR(LOOKUP(Q35,'FOIS 145A'!$A$2:$A$22,'FOIS 145A'!$C$2:$C$22),""))</f>
        <v/>
      </c>
      <c r="T35" s="4">
        <f>IF(ISNUMBER(S35),S35*(1+IF(Settings!$B$11="Y",0,Settings!$B$10/100))+2*N(Settings!$B$9),"")</f>
        <v/>
      </c>
      <c r="U35">
        <f>IF(ISNUMBER(T35),IF(T35&lt;R35,"Rail","Road"),"")</f>
        <v/>
      </c>
      <c r="V35" s="4">
        <f>IF(ISNUMBER(T35),ABS(R35-T35),"")</f>
        <v/>
      </c>
      <c r="W35">
        <f>IF(OR(ISNUMBER(SEARCH("siding",D35)),ISNUMBER(SEARCH("rcr",D35)),ISNUMBER(SEARCH("rail",D35)),ISNUMBER(SEARCH("wagon",D35))),"Yes - siding/rail in title","Check")</f>
        <v/>
      </c>
      <c r="X35">
        <f>Settings!$B$6</f>
        <v/>
      </c>
    </row>
    <row r="36">
      <c r="A36" t="inlineStr">
        <is>
          <t>A ≤150 km</t>
        </is>
      </c>
      <c r="B36" t="inlineStr">
        <is>
          <t>17829018</t>
        </is>
      </c>
      <c r="C36" t="inlineStr">
        <is>
          <t>GEM/2026/B/7685720</t>
        </is>
      </c>
      <c r="D36" t="inlineStr">
        <is>
          <t xml:space="preserve">handling service, transport service, handling &amp; transport service, hiring of payloader and tippers for loading and transportation of 230000 </t>
        </is>
      </c>
      <c r="E36" t="inlineStr">
        <is>
          <t>Coal transport (road)</t>
        </is>
      </c>
      <c r="F36" t="inlineStr">
        <is>
          <t>South Eastern Coalfields Limited</t>
        </is>
      </c>
      <c r="G36" t="inlineStr">
        <is>
          <t>Chhattisgarh</t>
        </is>
      </c>
      <c r="H36" t="inlineStr">
        <is>
          <t>Surguja</t>
        </is>
      </c>
      <c r="I36" t="inlineStr">
        <is>
          <t>2026-07-06</t>
        </is>
      </c>
      <c r="J36" t="inlineStr">
        <is>
          <t>AOC</t>
        </is>
      </c>
      <c r="K36" t="inlineStr">
        <is>
          <t>M/S Chandan Kumar Singh</t>
        </is>
      </c>
      <c r="L36" t="inlineStr">
        <is>
          <t>Chandan Kumar Singh</t>
        </is>
      </c>
      <c r="M36" t="inlineStr">
        <is>
          <t>5 named / 6</t>
        </is>
      </c>
      <c r="N36" t="n">
        <v>7.39</v>
      </c>
      <c r="O36" t="n">
        <v>137</v>
      </c>
      <c r="P36">
        <f>MAX(O36,Settings!$B$13)*Settings!$B$7</f>
        <v/>
      </c>
      <c r="Q36">
        <f>MAX(O36,Settings!$B$13)*Settings!$B$8</f>
        <v/>
      </c>
      <c r="R36" s="4">
        <f>MAX(P36*Settings!$B$5,IF(ISNUMBER(Settings!$B$12),Settings!$B$12,0))*(1+IF(Settings!$B$11="Y",0,Settings!$B$10/100))+N(Settings!$B$9)</f>
        <v/>
      </c>
      <c r="S36" s="4">
        <f>IF(Q36&gt;1000,"beyond table",IFERROR(LOOKUP(Q36,'FOIS 145A'!$A$2:$A$22,'FOIS 145A'!$C$2:$C$22),""))</f>
        <v/>
      </c>
      <c r="T36" s="4">
        <f>IF(ISNUMBER(S36),S36*(1+IF(Settings!$B$11="Y",0,Settings!$B$10/100))+2*N(Settings!$B$9),"")</f>
        <v/>
      </c>
      <c r="U36">
        <f>IF(ISNUMBER(T36),IF(T36&lt;R36,"Rail","Road"),"")</f>
        <v/>
      </c>
      <c r="V36" s="4">
        <f>IF(ISNUMBER(T36),ABS(R36-T36),"")</f>
        <v/>
      </c>
      <c r="W36">
        <f>IF(OR(ISNUMBER(SEARCH("siding",D36)),ISNUMBER(SEARCH("rcr",D36)),ISNUMBER(SEARCH("rail",D36)),ISNUMBER(SEARCH("wagon",D36))),"Yes - siding/rail in title","Check")</f>
        <v/>
      </c>
      <c r="X36">
        <f>Settings!$B$6</f>
        <v/>
      </c>
    </row>
    <row r="37">
      <c r="A37" t="inlineStr">
        <is>
          <t>A ≤150 km</t>
        </is>
      </c>
      <c r="B37" t="inlineStr">
        <is>
          <t>16845462</t>
        </is>
      </c>
      <c r="C37" t="inlineStr">
        <is>
          <t>GEM/2026/B/7219625</t>
        </is>
      </c>
      <c r="D37" t="inlineStr">
        <is>
          <t xml:space="preserve">proposal for hiring of a pay loader for mechanical loading of coal into tippers at coal stock yard amgaon ocp for 85000 te less than 100 mm </t>
        </is>
      </c>
      <c r="E37" t="inlineStr">
        <is>
          <t>Coal transport (road)</t>
        </is>
      </c>
      <c r="F37" t="inlineStr">
        <is>
          <t>South Eastern Coalfields Limited</t>
        </is>
      </c>
      <c r="G37" t="inlineStr">
        <is>
          <t>Chhattisgarh</t>
        </is>
      </c>
      <c r="H37" t="inlineStr">
        <is>
          <t>Surguja</t>
        </is>
      </c>
      <c r="I37" t="inlineStr">
        <is>
          <t>2026-02-26</t>
        </is>
      </c>
      <c r="J37" t="inlineStr">
        <is>
          <t>AOC</t>
        </is>
      </c>
      <c r="K37" t="inlineStr">
        <is>
          <t>Om Logistics</t>
        </is>
      </c>
      <c r="L37" t="inlineStr">
        <is>
          <t>Chandan Kumar Singh</t>
        </is>
      </c>
      <c r="M37" t="inlineStr">
        <is>
          <t>5 named / 5</t>
        </is>
      </c>
      <c r="N37" t="n">
        <v>1.41</v>
      </c>
      <c r="O37" t="n">
        <v>137</v>
      </c>
      <c r="P37">
        <f>MAX(O37,Settings!$B$13)*Settings!$B$7</f>
        <v/>
      </c>
      <c r="Q37">
        <f>MAX(O37,Settings!$B$13)*Settings!$B$8</f>
        <v/>
      </c>
      <c r="R37" s="4">
        <f>MAX(P37*Settings!$B$5,IF(ISNUMBER(Settings!$B$12),Settings!$B$12,0))*(1+IF(Settings!$B$11="Y",0,Settings!$B$10/100))+N(Settings!$B$9)</f>
        <v/>
      </c>
      <c r="S37" s="4">
        <f>IF(Q37&gt;1000,"beyond table",IFERROR(LOOKUP(Q37,'FOIS 145A'!$A$2:$A$22,'FOIS 145A'!$C$2:$C$22),""))</f>
        <v/>
      </c>
      <c r="T37" s="4">
        <f>IF(ISNUMBER(S37),S37*(1+IF(Settings!$B$11="Y",0,Settings!$B$10/100))+2*N(Settings!$B$9),"")</f>
        <v/>
      </c>
      <c r="U37">
        <f>IF(ISNUMBER(T37),IF(T37&lt;R37,"Rail","Road"),"")</f>
        <v/>
      </c>
      <c r="V37" s="4">
        <f>IF(ISNUMBER(T37),ABS(R37-T37),"")</f>
        <v/>
      </c>
      <c r="W37">
        <f>IF(OR(ISNUMBER(SEARCH("siding",D37)),ISNUMBER(SEARCH("rcr",D37)),ISNUMBER(SEARCH("rail",D37)),ISNUMBER(SEARCH("wagon",D37))),"Yes - siding/rail in title","Check")</f>
        <v/>
      </c>
      <c r="X37">
        <f>Settings!$B$6</f>
        <v/>
      </c>
    </row>
    <row r="38">
      <c r="A38" t="inlineStr">
        <is>
          <t>A ≤150 km</t>
        </is>
      </c>
      <c r="B38" t="inlineStr">
        <is>
          <t>15478921</t>
        </is>
      </c>
      <c r="C38" t="inlineStr">
        <is>
          <t>GEM/2025/B/6719300</t>
        </is>
      </c>
      <c r="D38" t="inlineStr">
        <is>
          <t>transportation of 63000 te and 340 te of g7 grade coal from ketki ug mine stock yard to bhatgaon area destinations through hired tippers via</t>
        </is>
      </c>
      <c r="E38" t="inlineStr">
        <is>
          <t>Coal transport (road)</t>
        </is>
      </c>
      <c r="F38" t="inlineStr">
        <is>
          <t>South Eastern Coalfields Limited</t>
        </is>
      </c>
      <c r="G38" t="inlineStr">
        <is>
          <t>Chhattisgarh</t>
        </is>
      </c>
      <c r="H38" t="inlineStr">
        <is>
          <t>Surguja</t>
        </is>
      </c>
      <c r="I38" t="inlineStr">
        <is>
          <t>2025-10-09</t>
        </is>
      </c>
      <c r="J38" t="inlineStr">
        <is>
          <t>AOC</t>
        </is>
      </c>
      <c r="K38" t="inlineStr">
        <is>
          <t>Narendra Singh Bindra</t>
        </is>
      </c>
      <c r="L38" t="inlineStr">
        <is>
          <t>G K Associates, Chandan Kumar Singh</t>
        </is>
      </c>
      <c r="M38" t="inlineStr">
        <is>
          <t>5 named / 7</t>
        </is>
      </c>
      <c r="N38" t="n">
        <v>1.35</v>
      </c>
      <c r="O38" t="n">
        <v>137</v>
      </c>
      <c r="P38">
        <f>MAX(O38,Settings!$B$13)*Settings!$B$7</f>
        <v/>
      </c>
      <c r="Q38">
        <f>MAX(O38,Settings!$B$13)*Settings!$B$8</f>
        <v/>
      </c>
      <c r="R38" s="4">
        <f>MAX(P38*Settings!$B$5,IF(ISNUMBER(Settings!$B$12),Settings!$B$12,0))*(1+IF(Settings!$B$11="Y",0,Settings!$B$10/100))+N(Settings!$B$9)</f>
        <v/>
      </c>
      <c r="S38" s="4">
        <f>IF(Q38&gt;1000,"beyond table",IFERROR(LOOKUP(Q38,'FOIS 145A'!$A$2:$A$22,'FOIS 145A'!$C$2:$C$22),""))</f>
        <v/>
      </c>
      <c r="T38" s="4">
        <f>IF(ISNUMBER(S38),S38*(1+IF(Settings!$B$11="Y",0,Settings!$B$10/100))+2*N(Settings!$B$9),"")</f>
        <v/>
      </c>
      <c r="U38">
        <f>IF(ISNUMBER(T38),IF(T38&lt;R38,"Rail","Road"),"")</f>
        <v/>
      </c>
      <c r="V38" s="4">
        <f>IF(ISNUMBER(T38),ABS(R38-T38),"")</f>
        <v/>
      </c>
      <c r="W38">
        <f>IF(OR(ISNUMBER(SEARCH("siding",D38)),ISNUMBER(SEARCH("rcr",D38)),ISNUMBER(SEARCH("rail",D38)),ISNUMBER(SEARCH("wagon",D38))),"Yes - siding/rail in title","Check")</f>
        <v/>
      </c>
      <c r="X38">
        <f>Settings!$B$6</f>
        <v/>
      </c>
    </row>
    <row r="39">
      <c r="A39" t="inlineStr">
        <is>
          <t>A ≤150 km</t>
        </is>
      </c>
      <c r="B39" t="inlineStr">
        <is>
          <t>16716663</t>
        </is>
      </c>
      <c r="C39" t="inlineStr">
        <is>
          <t>GEM/2026/B/7201133</t>
        </is>
      </c>
      <c r="D39" t="inlineStr">
        <is>
          <t>proposal for hiring of pay loader with weight sensor for mechanical transfer of 2000000 te coal into railway wagons at bishrampur wharf wall</t>
        </is>
      </c>
      <c r="E39" t="inlineStr">
        <is>
          <t>Loading / handling / crushing</t>
        </is>
      </c>
      <c r="F39" t="inlineStr">
        <is>
          <t>South Eastern Coalfields Limited</t>
        </is>
      </c>
      <c r="G39" t="inlineStr">
        <is>
          <t>Chhattisgarh</t>
        </is>
      </c>
      <c r="H39" t="inlineStr">
        <is>
          <t>Surguja</t>
        </is>
      </c>
      <c r="I39" t="inlineStr">
        <is>
          <t>2026-02-23</t>
        </is>
      </c>
      <c r="J39" t="inlineStr">
        <is>
          <t>AOC</t>
        </is>
      </c>
      <c r="K39" t="inlineStr">
        <is>
          <t>Orbit Carriers Private Limited</t>
        </is>
      </c>
      <c r="L39" t="inlineStr">
        <is>
          <t>Chandan Kumar Singh</t>
        </is>
      </c>
      <c r="M39" t="inlineStr">
        <is>
          <t>4 named / 4</t>
        </is>
      </c>
      <c r="N39" t="n">
        <v>1.79</v>
      </c>
      <c r="O39" t="n">
        <v>137</v>
      </c>
      <c r="P39">
        <f>MAX(O39,Settings!$B$13)*Settings!$B$7</f>
        <v/>
      </c>
      <c r="Q39">
        <f>MAX(O39,Settings!$B$13)*Settings!$B$8</f>
        <v/>
      </c>
      <c r="R39" s="4">
        <f>MAX(P39*Settings!$B$5,IF(ISNUMBER(Settings!$B$12),Settings!$B$12,0))*(1+IF(Settings!$B$11="Y",0,Settings!$B$10/100))+N(Settings!$B$9)</f>
        <v/>
      </c>
      <c r="S39" s="4">
        <f>IF(Q39&gt;1000,"beyond table",IFERROR(LOOKUP(Q39,'FOIS 145A'!$A$2:$A$22,'FOIS 145A'!$C$2:$C$22),""))</f>
        <v/>
      </c>
      <c r="T39" s="4">
        <f>IF(ISNUMBER(S39),S39*(1+IF(Settings!$B$11="Y",0,Settings!$B$10/100))+2*N(Settings!$B$9),"")</f>
        <v/>
      </c>
      <c r="U39">
        <f>IF(ISNUMBER(T39),IF(T39&lt;R39,"Rail","Road"),"")</f>
        <v/>
      </c>
      <c r="V39" s="4">
        <f>IF(ISNUMBER(T39),ABS(R39-T39),"")</f>
        <v/>
      </c>
      <c r="W39">
        <f>IF(OR(ISNUMBER(SEARCH("siding",D39)),ISNUMBER(SEARCH("rcr",D39)),ISNUMBER(SEARCH("rail",D39)),ISNUMBER(SEARCH("wagon",D39))),"Yes - siding/rail in title","Check")</f>
        <v/>
      </c>
      <c r="X39">
        <f>Settings!$B$6</f>
        <v/>
      </c>
    </row>
    <row r="40">
      <c r="A40" t="inlineStr">
        <is>
          <t>A ≤150 km</t>
        </is>
      </c>
      <c r="B40" t="inlineStr">
        <is>
          <t>17681972</t>
        </is>
      </c>
      <c r="C40" t="inlineStr">
        <is>
          <t>GEM/2026/B/7325071</t>
        </is>
      </c>
      <c r="D40" t="inlineStr">
        <is>
          <t>hiring of hemms for loading and transportaion of coal at gayatri ug mine of bishrampur area secl for 2190 days</t>
        </is>
      </c>
      <c r="E40" t="inlineStr">
        <is>
          <t>Mining services (OB / extraction)</t>
        </is>
      </c>
      <c r="F40" t="inlineStr">
        <is>
          <t>South Eastern Coalfields Limited</t>
        </is>
      </c>
      <c r="G40" t="inlineStr">
        <is>
          <t>Chhattisgarh</t>
        </is>
      </c>
      <c r="H40" t="inlineStr">
        <is>
          <t>Surguja</t>
        </is>
      </c>
      <c r="I40" t="inlineStr">
        <is>
          <t>2026-03-23</t>
        </is>
      </c>
      <c r="J40" t="inlineStr">
        <is>
          <t>AOC</t>
        </is>
      </c>
      <c r="K40" t="inlineStr">
        <is>
          <t>M/S Chandan Kumar Singh</t>
        </is>
      </c>
      <c r="L40" t="inlineStr"/>
      <c r="M40" t="inlineStr">
        <is>
          <t>5 named / 18</t>
        </is>
      </c>
      <c r="N40" t="n">
        <v>50.29</v>
      </c>
      <c r="O40" t="n">
        <v>137</v>
      </c>
      <c r="P40">
        <f>MAX(O40,Settings!$B$13)*Settings!$B$7</f>
        <v/>
      </c>
      <c r="Q40">
        <f>MAX(O40,Settings!$B$13)*Settings!$B$8</f>
        <v/>
      </c>
      <c r="R40" s="4">
        <f>MAX(P40*Settings!$B$5,IF(ISNUMBER(Settings!$B$12),Settings!$B$12,0))*(1+IF(Settings!$B$11="Y",0,Settings!$B$10/100))+N(Settings!$B$9)</f>
        <v/>
      </c>
      <c r="S40" s="4">
        <f>IF(Q40&gt;1000,"beyond table",IFERROR(LOOKUP(Q40,'FOIS 145A'!$A$2:$A$22,'FOIS 145A'!$C$2:$C$22),""))</f>
        <v/>
      </c>
      <c r="T40" s="4">
        <f>IF(ISNUMBER(S40),S40*(1+IF(Settings!$B$11="Y",0,Settings!$B$10/100))+2*N(Settings!$B$9),"")</f>
        <v/>
      </c>
      <c r="U40">
        <f>IF(ISNUMBER(T40),IF(T40&lt;R40,"Rail","Road"),"")</f>
        <v/>
      </c>
      <c r="V40" s="4">
        <f>IF(ISNUMBER(T40),ABS(R40-T40),"")</f>
        <v/>
      </c>
      <c r="W40">
        <f>IF(OR(ISNUMBER(SEARCH("siding",D40)),ISNUMBER(SEARCH("rcr",D40)),ISNUMBER(SEARCH("rail",D40)),ISNUMBER(SEARCH("wagon",D40))),"Yes - siding/rail in title","Check")</f>
        <v/>
      </c>
      <c r="X40">
        <f>Settings!$B$6</f>
        <v/>
      </c>
    </row>
    <row r="41">
      <c r="A41" t="inlineStr">
        <is>
          <t>A ≤150 km</t>
        </is>
      </c>
      <c r="B41" t="inlineStr">
        <is>
          <t>15763453</t>
        </is>
      </c>
      <c r="C41" t="inlineStr">
        <is>
          <t>GEM/2025/B/6862935</t>
        </is>
      </c>
      <c r="D41" t="inlineStr">
        <is>
          <t>hiring of crawler mounted drill machine 159 mm dia with wet drilling for 5763 m coal holes at forest patch for 30 days at amgaon ocp secl bi</t>
        </is>
      </c>
      <c r="E41" t="inlineStr">
        <is>
          <t>Other</t>
        </is>
      </c>
      <c r="F41" t="inlineStr">
        <is>
          <t>South Eastern Coalfields Limited</t>
        </is>
      </c>
      <c r="G41" t="inlineStr">
        <is>
          <t>Chhattisgarh</t>
        </is>
      </c>
      <c r="H41" t="inlineStr">
        <is>
          <t>Surguja</t>
        </is>
      </c>
      <c r="I41" t="inlineStr">
        <is>
          <t>2025-11-22</t>
        </is>
      </c>
      <c r="J41" t="inlineStr">
        <is>
          <t>AOC</t>
        </is>
      </c>
      <c r="K41" t="inlineStr">
        <is>
          <t>G K Associates</t>
        </is>
      </c>
      <c r="L41" t="inlineStr">
        <is>
          <t>G K Associates</t>
        </is>
      </c>
      <c r="M41" t="inlineStr">
        <is>
          <t>1 named / 1</t>
        </is>
      </c>
      <c r="N41" t="n">
        <v>0.1</v>
      </c>
      <c r="O41" t="n">
        <v>137</v>
      </c>
      <c r="P41">
        <f>MAX(O41,Settings!$B$13)*Settings!$B$7</f>
        <v/>
      </c>
      <c r="Q41">
        <f>MAX(O41,Settings!$B$13)*Settings!$B$8</f>
        <v/>
      </c>
      <c r="R41" s="4">
        <f>MAX(P41*Settings!$B$5,IF(ISNUMBER(Settings!$B$12),Settings!$B$12,0))*(1+IF(Settings!$B$11="Y",0,Settings!$B$10/100))+N(Settings!$B$9)</f>
        <v/>
      </c>
      <c r="S41" s="4">
        <f>IF(Q41&gt;1000,"beyond table",IFERROR(LOOKUP(Q41,'FOIS 145A'!$A$2:$A$22,'FOIS 145A'!$C$2:$C$22),""))</f>
        <v/>
      </c>
      <c r="T41" s="4">
        <f>IF(ISNUMBER(S41),S41*(1+IF(Settings!$B$11="Y",0,Settings!$B$10/100))+2*N(Settings!$B$9),"")</f>
        <v/>
      </c>
      <c r="U41">
        <f>IF(ISNUMBER(T41),IF(T41&lt;R41,"Rail","Road"),"")</f>
        <v/>
      </c>
      <c r="V41" s="4">
        <f>IF(ISNUMBER(T41),ABS(R41-T41),"")</f>
        <v/>
      </c>
      <c r="W41">
        <f>IF(OR(ISNUMBER(SEARCH("siding",D41)),ISNUMBER(SEARCH("rcr",D41)),ISNUMBER(SEARCH("rail",D41)),ISNUMBER(SEARCH("wagon",D41))),"Yes - siding/rail in title","Check")</f>
        <v/>
      </c>
      <c r="X41">
        <f>Settings!$B$6</f>
        <v/>
      </c>
    </row>
    <row r="42">
      <c r="A42" t="inlineStr">
        <is>
          <t>A ≤150 km</t>
        </is>
      </c>
      <c r="B42" t="inlineStr">
        <is>
          <t>15692582</t>
        </is>
      </c>
      <c r="C42" t="inlineStr">
        <is>
          <t>GEM/2025/B/6674746</t>
        </is>
      </c>
      <c r="D42" t="inlineStr">
        <is>
          <t>hiring of pay loder incorporated with weight sensors for mechanical transfer of size 100 mm coal to railway wagons for a quantity of 5891332</t>
        </is>
      </c>
      <c r="E42" t="inlineStr">
        <is>
          <t>Other</t>
        </is>
      </c>
      <c r="F42" t="inlineStr">
        <is>
          <t>South Eastern Coalfields Limited</t>
        </is>
      </c>
      <c r="G42" t="inlineStr">
        <is>
          <t>Chhattisgarh</t>
        </is>
      </c>
      <c r="H42" t="inlineStr">
        <is>
          <t>Surguja</t>
        </is>
      </c>
      <c r="I42" t="inlineStr">
        <is>
          <t>2025-09-29</t>
        </is>
      </c>
      <c r="J42" t="inlineStr">
        <is>
          <t>AOC</t>
        </is>
      </c>
      <c r="K42" t="inlineStr">
        <is>
          <t>Surguja Bricks Industries</t>
        </is>
      </c>
      <c r="L42" t="inlineStr">
        <is>
          <t>G K Associates, Chandan Kumar Singh</t>
        </is>
      </c>
      <c r="M42" t="inlineStr">
        <is>
          <t>5 named / 9</t>
        </is>
      </c>
      <c r="N42" t="n">
        <v>5.18</v>
      </c>
      <c r="O42" t="n">
        <v>137</v>
      </c>
      <c r="P42">
        <f>MAX(O42,Settings!$B$13)*Settings!$B$7</f>
        <v/>
      </c>
      <c r="Q42">
        <f>MAX(O42,Settings!$B$13)*Settings!$B$8</f>
        <v/>
      </c>
      <c r="R42" s="4">
        <f>MAX(P42*Settings!$B$5,IF(ISNUMBER(Settings!$B$12),Settings!$B$12,0))*(1+IF(Settings!$B$11="Y",0,Settings!$B$10/100))+N(Settings!$B$9)</f>
        <v/>
      </c>
      <c r="S42" s="4">
        <f>IF(Q42&gt;1000,"beyond table",IFERROR(LOOKUP(Q42,'FOIS 145A'!$A$2:$A$22,'FOIS 145A'!$C$2:$C$22),""))</f>
        <v/>
      </c>
      <c r="T42" s="4">
        <f>IF(ISNUMBER(S42),S42*(1+IF(Settings!$B$11="Y",0,Settings!$B$10/100))+2*N(Settings!$B$9),"")</f>
        <v/>
      </c>
      <c r="U42">
        <f>IF(ISNUMBER(T42),IF(T42&lt;R42,"Rail","Road"),"")</f>
        <v/>
      </c>
      <c r="V42" s="4">
        <f>IF(ISNUMBER(T42),ABS(R42-T42),"")</f>
        <v/>
      </c>
      <c r="W42">
        <f>IF(OR(ISNUMBER(SEARCH("siding",D42)),ISNUMBER(SEARCH("rcr",D42)),ISNUMBER(SEARCH("rail",D42)),ISNUMBER(SEARCH("wagon",D42))),"Yes - siding/rail in title","Check")</f>
        <v/>
      </c>
      <c r="X42">
        <f>Settings!$B$6</f>
        <v/>
      </c>
    </row>
    <row r="43">
      <c r="A43" t="inlineStr">
        <is>
          <t>B 150-300 km</t>
        </is>
      </c>
      <c r="B43" t="inlineStr">
        <is>
          <t>18282487</t>
        </is>
      </c>
      <c r="C43" t="inlineStr">
        <is>
          <t>GEM/2026/B/7469992</t>
        </is>
      </c>
      <c r="D43" t="inlineStr">
        <is>
          <t>lifting of of coal from mcl mines (kuldabelpaharlajkuralakhanpursamaleswerigarjanbaha l) to any railway sidinggoods shed private siding ( se</t>
        </is>
      </c>
      <c r="E43" t="inlineStr">
        <is>
          <t>Coal transport (RCR / siding)</t>
        </is>
      </c>
      <c r="F43" t="inlineStr">
        <is>
          <t>Ntpc-Sail Power Company Private Limited</t>
        </is>
      </c>
      <c r="G43" t="inlineStr">
        <is>
          <t>Orissa</t>
        </is>
      </c>
      <c r="H43" t="inlineStr">
        <is>
          <t>Rourkela</t>
        </is>
      </c>
      <c r="I43" t="inlineStr">
        <is>
          <t>2026-07-03</t>
        </is>
      </c>
      <c r="J43" t="inlineStr">
        <is>
          <t>Financial</t>
        </is>
      </c>
      <c r="K43" t="inlineStr">
        <is>
          <t>-</t>
        </is>
      </c>
      <c r="L43" t="inlineStr">
        <is>
          <t>Anoop Road Carriers, Bharat Road Carrier</t>
        </is>
      </c>
      <c r="M43" t="inlineStr">
        <is>
          <t>5 named / 12</t>
        </is>
      </c>
      <c r="O43" t="n">
        <v>155</v>
      </c>
      <c r="P43">
        <f>MAX(O43,Settings!$B$13)*Settings!$B$7</f>
        <v/>
      </c>
      <c r="Q43">
        <f>MAX(O43,Settings!$B$13)*Settings!$B$8</f>
        <v/>
      </c>
      <c r="R43" s="4">
        <f>MAX(P43*Settings!$B$5,IF(ISNUMBER(Settings!$B$12),Settings!$B$12,0))*(1+IF(Settings!$B$11="Y",0,Settings!$B$10/100))+N(Settings!$B$9)</f>
        <v/>
      </c>
      <c r="S43" s="4">
        <f>IF(Q43&gt;1000,"beyond table",IFERROR(LOOKUP(Q43,'FOIS 145A'!$A$2:$A$22,'FOIS 145A'!$C$2:$C$22),""))</f>
        <v/>
      </c>
      <c r="T43" s="4">
        <f>IF(ISNUMBER(S43),S43*(1+IF(Settings!$B$11="Y",0,Settings!$B$10/100))+2*N(Settings!$B$9),"")</f>
        <v/>
      </c>
      <c r="U43">
        <f>IF(ISNUMBER(T43),IF(T43&lt;R43,"Rail","Road"),"")</f>
        <v/>
      </c>
      <c r="V43" s="4">
        <f>IF(ISNUMBER(T43),ABS(R43-T43),"")</f>
        <v/>
      </c>
      <c r="W43">
        <f>IF(OR(ISNUMBER(SEARCH("siding",D43)),ISNUMBER(SEARCH("rcr",D43)),ISNUMBER(SEARCH("rail",D43)),ISNUMBER(SEARCH("wagon",D43))),"Yes - siding/rail in title","Check")</f>
        <v/>
      </c>
      <c r="X43">
        <f>Settings!$B$6</f>
        <v/>
      </c>
    </row>
    <row r="44">
      <c r="A44" t="inlineStr">
        <is>
          <t>B 150-300 km</t>
        </is>
      </c>
      <c r="B44" t="inlineStr">
        <is>
          <t>17865617</t>
        </is>
      </c>
      <c r="C44" t="inlineStr">
        <is>
          <t>GEM/2026/B/7514337</t>
        </is>
      </c>
      <c r="D44" t="inlineStr">
        <is>
          <t xml:space="preserve">transportation of coal from ocpl manoharpur mines to any privatepublic siding of railways and then loading into (boxn) ir wagons for onward </t>
        </is>
      </c>
      <c r="E44" t="inlineStr">
        <is>
          <t>Coal transport (RCR / siding)</t>
        </is>
      </c>
      <c r="F44" t="inlineStr">
        <is>
          <t>Ntpc-Sail Power Company Private Limited</t>
        </is>
      </c>
      <c r="G44" t="inlineStr">
        <is>
          <t>Orissa</t>
        </is>
      </c>
      <c r="H44" t="inlineStr">
        <is>
          <t>Rourkela</t>
        </is>
      </c>
      <c r="I44" t="inlineStr">
        <is>
          <t>2026-06-23</t>
        </is>
      </c>
      <c r="J44" t="inlineStr">
        <is>
          <t>Financial</t>
        </is>
      </c>
      <c r="K44" t="inlineStr">
        <is>
          <t>-</t>
        </is>
      </c>
      <c r="L44" t="inlineStr">
        <is>
          <t>Anoop Road Carriers, Bharat Road Carrier, Godavari Commodities, Indermani / Indramani</t>
        </is>
      </c>
      <c r="M44" t="inlineStr">
        <is>
          <t>5 named / 11</t>
        </is>
      </c>
      <c r="O44" t="n">
        <v>155</v>
      </c>
      <c r="P44">
        <f>MAX(O44,Settings!$B$13)*Settings!$B$7</f>
        <v/>
      </c>
      <c r="Q44">
        <f>MAX(O44,Settings!$B$13)*Settings!$B$8</f>
        <v/>
      </c>
      <c r="R44" s="4">
        <f>MAX(P44*Settings!$B$5,IF(ISNUMBER(Settings!$B$12),Settings!$B$12,0))*(1+IF(Settings!$B$11="Y",0,Settings!$B$10/100))+N(Settings!$B$9)</f>
        <v/>
      </c>
      <c r="S44" s="4">
        <f>IF(Q44&gt;1000,"beyond table",IFERROR(LOOKUP(Q44,'FOIS 145A'!$A$2:$A$22,'FOIS 145A'!$C$2:$C$22),""))</f>
        <v/>
      </c>
      <c r="T44" s="4">
        <f>IF(ISNUMBER(S44),S44*(1+IF(Settings!$B$11="Y",0,Settings!$B$10/100))+2*N(Settings!$B$9),"")</f>
        <v/>
      </c>
      <c r="U44">
        <f>IF(ISNUMBER(T44),IF(T44&lt;R44,"Rail","Road"),"")</f>
        <v/>
      </c>
      <c r="V44" s="4">
        <f>IF(ISNUMBER(T44),ABS(R44-T44),"")</f>
        <v/>
      </c>
      <c r="W44">
        <f>IF(OR(ISNUMBER(SEARCH("siding",D44)),ISNUMBER(SEARCH("rcr",D44)),ISNUMBER(SEARCH("rail",D44)),ISNUMBER(SEARCH("wagon",D44))),"Yes - siding/rail in title","Check")</f>
        <v/>
      </c>
      <c r="X44">
        <f>Settings!$B$6</f>
        <v/>
      </c>
    </row>
    <row r="45">
      <c r="A45" t="inlineStr">
        <is>
          <t>B 150-300 km</t>
        </is>
      </c>
      <c r="B45" t="inlineStr">
        <is>
          <t>14138047</t>
        </is>
      </c>
      <c r="C45" t="inlineStr">
        <is>
          <t>GEM/2025/B/6302813</t>
        </is>
      </c>
      <c r="D45" t="inlineStr">
        <is>
          <t>transportation of coal from ocpl manoharpur mines</t>
        </is>
      </c>
      <c r="E45" t="inlineStr">
        <is>
          <t>Coal transport (road)</t>
        </is>
      </c>
      <c r="F45" t="inlineStr">
        <is>
          <t>Ntpc-Sail Power Company Private Limited</t>
        </is>
      </c>
      <c r="G45" t="inlineStr">
        <is>
          <t>Orissa</t>
        </is>
      </c>
      <c r="H45" t="inlineStr">
        <is>
          <t>Rourkela</t>
        </is>
      </c>
      <c r="I45" t="inlineStr">
        <is>
          <t>2025-06-16</t>
        </is>
      </c>
      <c r="J45" t="inlineStr">
        <is>
          <t>AOC</t>
        </is>
      </c>
      <c r="K45" t="inlineStr">
        <is>
          <t xml:space="preserve">Orissa Transport Co </t>
        </is>
      </c>
      <c r="L45" t="inlineStr">
        <is>
          <t>Anoop Road Carriers, Tirupati Minerals</t>
        </is>
      </c>
      <c r="M45" t="inlineStr">
        <is>
          <t>4 named / 4</t>
        </is>
      </c>
      <c r="N45" t="n">
        <v>0.39</v>
      </c>
      <c r="O45" t="n">
        <v>155</v>
      </c>
      <c r="P45">
        <f>MAX(O45,Settings!$B$13)*Settings!$B$7</f>
        <v/>
      </c>
      <c r="Q45">
        <f>MAX(O45,Settings!$B$13)*Settings!$B$8</f>
        <v/>
      </c>
      <c r="R45" s="4">
        <f>MAX(P45*Settings!$B$5,IF(ISNUMBER(Settings!$B$12),Settings!$B$12,0))*(1+IF(Settings!$B$11="Y",0,Settings!$B$10/100))+N(Settings!$B$9)</f>
        <v/>
      </c>
      <c r="S45" s="4">
        <f>IF(Q45&gt;1000,"beyond table",IFERROR(LOOKUP(Q45,'FOIS 145A'!$A$2:$A$22,'FOIS 145A'!$C$2:$C$22),""))</f>
        <v/>
      </c>
      <c r="T45" s="4">
        <f>IF(ISNUMBER(S45),S45*(1+IF(Settings!$B$11="Y",0,Settings!$B$10/100))+2*N(Settings!$B$9),"")</f>
        <v/>
      </c>
      <c r="U45">
        <f>IF(ISNUMBER(T45),IF(T45&lt;R45,"Rail","Road"),"")</f>
        <v/>
      </c>
      <c r="V45" s="4">
        <f>IF(ISNUMBER(T45),ABS(R45-T45),"")</f>
        <v/>
      </c>
      <c r="W45">
        <f>IF(OR(ISNUMBER(SEARCH("siding",D45)),ISNUMBER(SEARCH("rcr",D45)),ISNUMBER(SEARCH("rail",D45)),ISNUMBER(SEARCH("wagon",D45))),"Yes - siding/rail in title","Check")</f>
        <v/>
      </c>
      <c r="X45">
        <f>Settings!$B$6</f>
        <v/>
      </c>
    </row>
    <row r="46">
      <c r="A46" t="inlineStr">
        <is>
          <t>B 150-300 km</t>
        </is>
      </c>
      <c r="B46" t="inlineStr">
        <is>
          <t>13961330</t>
        </is>
      </c>
      <c r="C46" t="inlineStr">
        <is>
          <t>GEM/2025/B/6196170</t>
        </is>
      </c>
      <c r="D46" t="inlineStr">
        <is>
          <t>transportation of coal from ocpl manoharpur mines to any private/public s</t>
        </is>
      </c>
      <c r="E46" t="inlineStr">
        <is>
          <t>Coal transport (road)</t>
        </is>
      </c>
      <c r="F46" t="inlineStr">
        <is>
          <t>Ntpc-Sail Power Company Private Limited</t>
        </is>
      </c>
      <c r="G46" t="inlineStr">
        <is>
          <t>Orissa</t>
        </is>
      </c>
      <c r="H46" t="inlineStr">
        <is>
          <t>Rourkela</t>
        </is>
      </c>
      <c r="I46" t="inlineStr">
        <is>
          <t>2025-06-02</t>
        </is>
      </c>
      <c r="J46" t="inlineStr">
        <is>
          <t>Financial</t>
        </is>
      </c>
      <c r="K46" t="inlineStr">
        <is>
          <t>-</t>
        </is>
      </c>
      <c r="L46" t="inlineStr">
        <is>
          <t>Advika Logistics, Anoop Road Carriers, Godavari Commodities</t>
        </is>
      </c>
      <c r="M46" t="inlineStr">
        <is>
          <t>5 named / 20</t>
        </is>
      </c>
      <c r="O46" t="n">
        <v>155</v>
      </c>
      <c r="P46">
        <f>MAX(O46,Settings!$B$13)*Settings!$B$7</f>
        <v/>
      </c>
      <c r="Q46">
        <f>MAX(O46,Settings!$B$13)*Settings!$B$8</f>
        <v/>
      </c>
      <c r="R46" s="4">
        <f>MAX(P46*Settings!$B$5,IF(ISNUMBER(Settings!$B$12),Settings!$B$12,0))*(1+IF(Settings!$B$11="Y",0,Settings!$B$10/100))+N(Settings!$B$9)</f>
        <v/>
      </c>
      <c r="S46" s="4">
        <f>IF(Q46&gt;1000,"beyond table",IFERROR(LOOKUP(Q46,'FOIS 145A'!$A$2:$A$22,'FOIS 145A'!$C$2:$C$22),""))</f>
        <v/>
      </c>
      <c r="T46" s="4">
        <f>IF(ISNUMBER(S46),S46*(1+IF(Settings!$B$11="Y",0,Settings!$B$10/100))+2*N(Settings!$B$9),"")</f>
        <v/>
      </c>
      <c r="U46">
        <f>IF(ISNUMBER(T46),IF(T46&lt;R46,"Rail","Road"),"")</f>
        <v/>
      </c>
      <c r="V46" s="4">
        <f>IF(ISNUMBER(T46),ABS(R46-T46),"")</f>
        <v/>
      </c>
      <c r="W46">
        <f>IF(OR(ISNUMBER(SEARCH("siding",D46)),ISNUMBER(SEARCH("rcr",D46)),ISNUMBER(SEARCH("rail",D46)),ISNUMBER(SEARCH("wagon",D46))),"Yes - siding/rail in title","Check")</f>
        <v/>
      </c>
      <c r="X46">
        <f>Settings!$B$6</f>
        <v/>
      </c>
    </row>
    <row r="47">
      <c r="A47" t="inlineStr">
        <is>
          <t>B 150-300 km</t>
        </is>
      </c>
      <c r="B47" t="inlineStr">
        <is>
          <t>13168942</t>
        </is>
      </c>
      <c r="C47" t="inlineStr">
        <is>
          <t>GEM/2025/B/6073786</t>
        </is>
      </c>
      <c r="D47" t="inlineStr">
        <is>
          <t>transportation of coal from ocpl manoharpur mines to any privatepublic si</t>
        </is>
      </c>
      <c r="E47" t="inlineStr">
        <is>
          <t>Coal transport (road)</t>
        </is>
      </c>
      <c r="F47" t="inlineStr">
        <is>
          <t>Ntpc-Sail Power Company Private Limited</t>
        </is>
      </c>
      <c r="G47" t="inlineStr">
        <is>
          <t>Orissa</t>
        </is>
      </c>
      <c r="H47" t="inlineStr">
        <is>
          <t>Rourkela</t>
        </is>
      </c>
      <c r="I47" t="inlineStr">
        <is>
          <t>2025-04-03</t>
        </is>
      </c>
      <c r="J47" t="inlineStr">
        <is>
          <t>AOC</t>
        </is>
      </c>
      <c r="K47" t="inlineStr">
        <is>
          <t>Alps Mining Services Private Limited</t>
        </is>
      </c>
      <c r="L47" t="inlineStr">
        <is>
          <t>Anoop Road Carriers, Tirupati Minerals</t>
        </is>
      </c>
      <c r="M47" t="inlineStr">
        <is>
          <t>3 named / 3</t>
        </is>
      </c>
      <c r="N47" t="n">
        <v>0.4</v>
      </c>
      <c r="O47" t="n">
        <v>155</v>
      </c>
      <c r="P47">
        <f>MAX(O47,Settings!$B$13)*Settings!$B$7</f>
        <v/>
      </c>
      <c r="Q47">
        <f>MAX(O47,Settings!$B$13)*Settings!$B$8</f>
        <v/>
      </c>
      <c r="R47" s="4">
        <f>MAX(P47*Settings!$B$5,IF(ISNUMBER(Settings!$B$12),Settings!$B$12,0))*(1+IF(Settings!$B$11="Y",0,Settings!$B$10/100))+N(Settings!$B$9)</f>
        <v/>
      </c>
      <c r="S47" s="4">
        <f>IF(Q47&gt;1000,"beyond table",IFERROR(LOOKUP(Q47,'FOIS 145A'!$A$2:$A$22,'FOIS 145A'!$C$2:$C$22),""))</f>
        <v/>
      </c>
      <c r="T47" s="4">
        <f>IF(ISNUMBER(S47),S47*(1+IF(Settings!$B$11="Y",0,Settings!$B$10/100))+2*N(Settings!$B$9),"")</f>
        <v/>
      </c>
      <c r="U47">
        <f>IF(ISNUMBER(T47),IF(T47&lt;R47,"Rail","Road"),"")</f>
        <v/>
      </c>
      <c r="V47" s="4">
        <f>IF(ISNUMBER(T47),ABS(R47-T47),"")</f>
        <v/>
      </c>
      <c r="W47">
        <f>IF(OR(ISNUMBER(SEARCH("siding",D47)),ISNUMBER(SEARCH("rcr",D47)),ISNUMBER(SEARCH("rail",D47)),ISNUMBER(SEARCH("wagon",D47))),"Yes - siding/rail in title","Check")</f>
        <v/>
      </c>
      <c r="X47">
        <f>Settings!$B$6</f>
        <v/>
      </c>
    </row>
    <row r="48">
      <c r="A48" t="inlineStr">
        <is>
          <t>B 150-300 km</t>
        </is>
      </c>
      <c r="B48" t="inlineStr">
        <is>
          <t>17026374</t>
        </is>
      </c>
      <c r="C48" t="inlineStr">
        <is>
          <t>GEM/2026/B/7088635</t>
        </is>
      </c>
      <c r="D48" t="inlineStr">
        <is>
          <t xml:space="preserve">handling service, handling &amp; transport service, transport service, hiring of tippers for transportation of coal and loading of coal at ncph </t>
        </is>
      </c>
      <c r="E48" t="inlineStr">
        <is>
          <t>Coal transport (road)</t>
        </is>
      </c>
      <c r="F48" t="inlineStr">
        <is>
          <t>South Eastern Coalfields Limited</t>
        </is>
      </c>
      <c r="G48" t="inlineStr">
        <is>
          <t>Chhattisgarh</t>
        </is>
      </c>
      <c r="H48" t="inlineStr">
        <is>
          <t>Korea</t>
        </is>
      </c>
      <c r="I48" t="inlineStr">
        <is>
          <t>2026-01-24</t>
        </is>
      </c>
      <c r="J48" t="inlineStr">
        <is>
          <t>AOC</t>
        </is>
      </c>
      <c r="K48" t="inlineStr">
        <is>
          <t>Nakul Tiwari</t>
        </is>
      </c>
      <c r="L48" t="inlineStr">
        <is>
          <t>G K Associates, Chandan Kumar Singh</t>
        </is>
      </c>
      <c r="M48" t="inlineStr">
        <is>
          <t>5 named / 6</t>
        </is>
      </c>
      <c r="N48" t="n">
        <v>7.23</v>
      </c>
      <c r="O48" t="n">
        <v>174</v>
      </c>
      <c r="P48">
        <f>MAX(O48,Settings!$B$13)*Settings!$B$7</f>
        <v/>
      </c>
      <c r="Q48">
        <f>MAX(O48,Settings!$B$13)*Settings!$B$8</f>
        <v/>
      </c>
      <c r="R48" s="4">
        <f>MAX(P48*Settings!$B$5,IF(ISNUMBER(Settings!$B$12),Settings!$B$12,0))*(1+IF(Settings!$B$11="Y",0,Settings!$B$10/100))+N(Settings!$B$9)</f>
        <v/>
      </c>
      <c r="S48" s="4">
        <f>IF(Q48&gt;1000,"beyond table",IFERROR(LOOKUP(Q48,'FOIS 145A'!$A$2:$A$22,'FOIS 145A'!$C$2:$C$22),""))</f>
        <v/>
      </c>
      <c r="T48" s="4">
        <f>IF(ISNUMBER(S48),S48*(1+IF(Settings!$B$11="Y",0,Settings!$B$10/100))+2*N(Settings!$B$9),"")</f>
        <v/>
      </c>
      <c r="U48">
        <f>IF(ISNUMBER(T48),IF(T48&lt;R48,"Rail","Road"),"")</f>
        <v/>
      </c>
      <c r="V48" s="4">
        <f>IF(ISNUMBER(T48),ABS(R48-T48),"")</f>
        <v/>
      </c>
      <c r="W48">
        <f>IF(OR(ISNUMBER(SEARCH("siding",D48)),ISNUMBER(SEARCH("rcr",D48)),ISNUMBER(SEARCH("rail",D48)),ISNUMBER(SEARCH("wagon",D48))),"Yes - siding/rail in title","Check")</f>
        <v/>
      </c>
      <c r="X48">
        <f>Settings!$B$6</f>
        <v/>
      </c>
    </row>
    <row r="49">
      <c r="A49" t="inlineStr">
        <is>
          <t>B 150-300 km</t>
        </is>
      </c>
      <c r="B49" t="inlineStr">
        <is>
          <t>14761654</t>
        </is>
      </c>
      <c r="C49" t="inlineStr">
        <is>
          <t>GEM/2025/B/6531525</t>
        </is>
      </c>
      <c r="D49" t="inlineStr">
        <is>
          <t>coal transportation from k</t>
        </is>
      </c>
      <c r="E49" t="inlineStr">
        <is>
          <t>Coal transport (road)</t>
        </is>
      </c>
      <c r="F49" t="inlineStr">
        <is>
          <t>South Eastern Coalfields Limited</t>
        </is>
      </c>
      <c r="G49" t="inlineStr">
        <is>
          <t>Chhattisgarh</t>
        </is>
      </c>
      <c r="H49" t="inlineStr">
        <is>
          <t>Korea</t>
        </is>
      </c>
      <c r="I49" t="inlineStr">
        <is>
          <t>2025-08-14</t>
        </is>
      </c>
      <c r="J49" t="inlineStr">
        <is>
          <t>AOC</t>
        </is>
      </c>
      <c r="K49" t="inlineStr">
        <is>
          <t>Ajay Shrivas</t>
        </is>
      </c>
      <c r="L49" t="inlineStr"/>
      <c r="M49" t="inlineStr">
        <is>
          <t>3 named / 3</t>
        </is>
      </c>
      <c r="N49" t="n">
        <v>0.41</v>
      </c>
      <c r="O49" t="n">
        <v>174</v>
      </c>
      <c r="P49">
        <f>MAX(O49,Settings!$B$13)*Settings!$B$7</f>
        <v/>
      </c>
      <c r="Q49">
        <f>MAX(O49,Settings!$B$13)*Settings!$B$8</f>
        <v/>
      </c>
      <c r="R49" s="4">
        <f>MAX(P49*Settings!$B$5,IF(ISNUMBER(Settings!$B$12),Settings!$B$12,0))*(1+IF(Settings!$B$11="Y",0,Settings!$B$10/100))+N(Settings!$B$9)</f>
        <v/>
      </c>
      <c r="S49" s="4">
        <f>IF(Q49&gt;1000,"beyond table",IFERROR(LOOKUP(Q49,'FOIS 145A'!$A$2:$A$22,'FOIS 145A'!$C$2:$C$22),""))</f>
        <v/>
      </c>
      <c r="T49" s="4">
        <f>IF(ISNUMBER(S49),S49*(1+IF(Settings!$B$11="Y",0,Settings!$B$10/100))+2*N(Settings!$B$9),"")</f>
        <v/>
      </c>
      <c r="U49">
        <f>IF(ISNUMBER(T49),IF(T49&lt;R49,"Rail","Road"),"")</f>
        <v/>
      </c>
      <c r="V49" s="4">
        <f>IF(ISNUMBER(T49),ABS(R49-T49),"")</f>
        <v/>
      </c>
      <c r="W49">
        <f>IF(OR(ISNUMBER(SEARCH("siding",D49)),ISNUMBER(SEARCH("rcr",D49)),ISNUMBER(SEARCH("rail",D49)),ISNUMBER(SEARCH("wagon",D49))),"Yes - siding/rail in title","Check")</f>
        <v/>
      </c>
      <c r="X49">
        <f>Settings!$B$6</f>
        <v/>
      </c>
    </row>
    <row r="50">
      <c r="A50" t="inlineStr">
        <is>
          <t>B 150-300 km</t>
        </is>
      </c>
      <c r="B50" t="inlineStr">
        <is>
          <t>14370610</t>
        </is>
      </c>
      <c r="C50" t="inlineStr">
        <is>
          <t>GEM/2025/B/6354284</t>
        </is>
      </c>
      <c r="D50" t="inlineStr">
        <is>
          <t>handling ,transport and other mining services - percentagequote based - handling &amp; transport service, loading andtransportation of coal at r</t>
        </is>
      </c>
      <c r="E50" t="inlineStr">
        <is>
          <t>Coal transport (road)</t>
        </is>
      </c>
      <c r="F50" t="inlineStr">
        <is>
          <t>South Eastern Coalfields Limited</t>
        </is>
      </c>
      <c r="G50" t="inlineStr">
        <is>
          <t>Chhattisgarh</t>
        </is>
      </c>
      <c r="H50" t="inlineStr">
        <is>
          <t>Korea</t>
        </is>
      </c>
      <c r="I50" t="inlineStr">
        <is>
          <t>2025-07-07</t>
        </is>
      </c>
      <c r="J50" t="inlineStr">
        <is>
          <t>AOC</t>
        </is>
      </c>
      <c r="K50" t="inlineStr">
        <is>
          <t>G K Associates</t>
        </is>
      </c>
      <c r="L50" t="inlineStr"/>
      <c r="M50" t="inlineStr">
        <is>
          <t>5 named / 29</t>
        </is>
      </c>
      <c r="N50" t="n">
        <v>81.11</v>
      </c>
      <c r="O50" t="n">
        <v>174</v>
      </c>
      <c r="P50">
        <f>MAX(O50,Settings!$B$13)*Settings!$B$7</f>
        <v/>
      </c>
      <c r="Q50">
        <f>MAX(O50,Settings!$B$13)*Settings!$B$8</f>
        <v/>
      </c>
      <c r="R50" s="4">
        <f>MAX(P50*Settings!$B$5,IF(ISNUMBER(Settings!$B$12),Settings!$B$12,0))*(1+IF(Settings!$B$11="Y",0,Settings!$B$10/100))+N(Settings!$B$9)</f>
        <v/>
      </c>
      <c r="S50" s="4">
        <f>IF(Q50&gt;1000,"beyond table",IFERROR(LOOKUP(Q50,'FOIS 145A'!$A$2:$A$22,'FOIS 145A'!$C$2:$C$22),""))</f>
        <v/>
      </c>
      <c r="T50" s="4">
        <f>IF(ISNUMBER(S50),S50*(1+IF(Settings!$B$11="Y",0,Settings!$B$10/100))+2*N(Settings!$B$9),"")</f>
        <v/>
      </c>
      <c r="U50">
        <f>IF(ISNUMBER(T50),IF(T50&lt;R50,"Rail","Road"),"")</f>
        <v/>
      </c>
      <c r="V50" s="4">
        <f>IF(ISNUMBER(T50),ABS(R50-T50),"")</f>
        <v/>
      </c>
      <c r="W50">
        <f>IF(OR(ISNUMBER(SEARCH("siding",D50)),ISNUMBER(SEARCH("rcr",D50)),ISNUMBER(SEARCH("rail",D50)),ISNUMBER(SEARCH("wagon",D50))),"Yes - siding/rail in title","Check")</f>
        <v/>
      </c>
      <c r="X50">
        <f>Settings!$B$6</f>
        <v/>
      </c>
    </row>
    <row r="51">
      <c r="A51" t="inlineStr">
        <is>
          <t>B 150-300 km</t>
        </is>
      </c>
      <c r="B51" t="inlineStr">
        <is>
          <t>13712378</t>
        </is>
      </c>
      <c r="C51" t="inlineStr">
        <is>
          <t>GEM/2025/B/6218223</t>
        </is>
      </c>
      <c r="D51" t="inlineStr">
        <is>
          <t>handling &amp; transport servi</t>
        </is>
      </c>
      <c r="E51" t="inlineStr">
        <is>
          <t>Coal transport (road)</t>
        </is>
      </c>
      <c r="F51" t="inlineStr">
        <is>
          <t>South Eastern Coalfields Limited</t>
        </is>
      </c>
      <c r="G51" t="inlineStr">
        <is>
          <t>Chhattisgarh</t>
        </is>
      </c>
      <c r="H51" t="inlineStr">
        <is>
          <t>Korea</t>
        </is>
      </c>
      <c r="I51" t="inlineStr">
        <is>
          <t>2025-05-26</t>
        </is>
      </c>
      <c r="J51" t="inlineStr">
        <is>
          <t>AOC</t>
        </is>
      </c>
      <c r="K51" t="inlineStr">
        <is>
          <t>Dadan Singh Llp</t>
        </is>
      </c>
      <c r="L51" t="inlineStr">
        <is>
          <t>G K Associates, Chandan Kumar Singh</t>
        </is>
      </c>
      <c r="M51" t="inlineStr">
        <is>
          <t>5 named / 7</t>
        </is>
      </c>
      <c r="N51" t="n">
        <v>7.05</v>
      </c>
      <c r="O51" t="n">
        <v>174</v>
      </c>
      <c r="P51">
        <f>MAX(O51,Settings!$B$13)*Settings!$B$7</f>
        <v/>
      </c>
      <c r="Q51">
        <f>MAX(O51,Settings!$B$13)*Settings!$B$8</f>
        <v/>
      </c>
      <c r="R51" s="4">
        <f>MAX(P51*Settings!$B$5,IF(ISNUMBER(Settings!$B$12),Settings!$B$12,0))*(1+IF(Settings!$B$11="Y",0,Settings!$B$10/100))+N(Settings!$B$9)</f>
        <v/>
      </c>
      <c r="S51" s="4">
        <f>IF(Q51&gt;1000,"beyond table",IFERROR(LOOKUP(Q51,'FOIS 145A'!$A$2:$A$22,'FOIS 145A'!$C$2:$C$22),""))</f>
        <v/>
      </c>
      <c r="T51" s="4">
        <f>IF(ISNUMBER(S51),S51*(1+IF(Settings!$B$11="Y",0,Settings!$B$10/100))+2*N(Settings!$B$9),"")</f>
        <v/>
      </c>
      <c r="U51">
        <f>IF(ISNUMBER(T51),IF(T51&lt;R51,"Rail","Road"),"")</f>
        <v/>
      </c>
      <c r="V51" s="4">
        <f>IF(ISNUMBER(T51),ABS(R51-T51),"")</f>
        <v/>
      </c>
      <c r="W51">
        <f>IF(OR(ISNUMBER(SEARCH("siding",D51)),ISNUMBER(SEARCH("rcr",D51)),ISNUMBER(SEARCH("rail",D51)),ISNUMBER(SEARCH("wagon",D51))),"Yes - siding/rail in title","Check")</f>
        <v/>
      </c>
      <c r="X51">
        <f>Settings!$B$6</f>
        <v/>
      </c>
    </row>
    <row r="52">
      <c r="A52" t="inlineStr">
        <is>
          <t>B 150-300 km</t>
        </is>
      </c>
      <c r="B52" t="inlineStr">
        <is>
          <t>13609214</t>
        </is>
      </c>
      <c r="C52" t="inlineStr">
        <is>
          <t>GEM/2025/B/6201579</t>
        </is>
      </c>
      <c r="D52" t="inlineStr">
        <is>
          <t>loading and transportation</t>
        </is>
      </c>
      <c r="E52" t="inlineStr">
        <is>
          <t>Coal transport (road)</t>
        </is>
      </c>
      <c r="F52" t="inlineStr">
        <is>
          <t>South Eastern Coalfields Limited</t>
        </is>
      </c>
      <c r="G52" t="inlineStr">
        <is>
          <t>Chhattisgarh</t>
        </is>
      </c>
      <c r="H52" t="inlineStr">
        <is>
          <t>Korea</t>
        </is>
      </c>
      <c r="I52" t="inlineStr">
        <is>
          <t>2025-05-21</t>
        </is>
      </c>
      <c r="J52" t="inlineStr">
        <is>
          <t>AOC</t>
        </is>
      </c>
      <c r="K52" t="inlineStr">
        <is>
          <t>M/S Ramesh Kumar Agrawal And Sons</t>
        </is>
      </c>
      <c r="L52" t="inlineStr">
        <is>
          <t>G K Associates</t>
        </is>
      </c>
      <c r="M52" t="inlineStr">
        <is>
          <t>5 named / 10</t>
        </is>
      </c>
      <c r="N52" t="n">
        <v>7</v>
      </c>
      <c r="O52" t="n">
        <v>174</v>
      </c>
      <c r="P52">
        <f>MAX(O52,Settings!$B$13)*Settings!$B$7</f>
        <v/>
      </c>
      <c r="Q52">
        <f>MAX(O52,Settings!$B$13)*Settings!$B$8</f>
        <v/>
      </c>
      <c r="R52" s="4">
        <f>MAX(P52*Settings!$B$5,IF(ISNUMBER(Settings!$B$12),Settings!$B$12,0))*(1+IF(Settings!$B$11="Y",0,Settings!$B$10/100))+N(Settings!$B$9)</f>
        <v/>
      </c>
      <c r="S52" s="4">
        <f>IF(Q52&gt;1000,"beyond table",IFERROR(LOOKUP(Q52,'FOIS 145A'!$A$2:$A$22,'FOIS 145A'!$C$2:$C$22),""))</f>
        <v/>
      </c>
      <c r="T52" s="4">
        <f>IF(ISNUMBER(S52),S52*(1+IF(Settings!$B$11="Y",0,Settings!$B$10/100))+2*N(Settings!$B$9),"")</f>
        <v/>
      </c>
      <c r="U52">
        <f>IF(ISNUMBER(T52),IF(T52&lt;R52,"Rail","Road"),"")</f>
        <v/>
      </c>
      <c r="V52" s="4">
        <f>IF(ISNUMBER(T52),ABS(R52-T52),"")</f>
        <v/>
      </c>
      <c r="W52">
        <f>IF(OR(ISNUMBER(SEARCH("siding",D52)),ISNUMBER(SEARCH("rcr",D52)),ISNUMBER(SEARCH("rail",D52)),ISNUMBER(SEARCH("wagon",D52))),"Yes - siding/rail in title","Check")</f>
        <v/>
      </c>
      <c r="X52">
        <f>Settings!$B$6</f>
        <v/>
      </c>
    </row>
    <row r="53">
      <c r="A53" t="inlineStr">
        <is>
          <t>B 150-300 km</t>
        </is>
      </c>
      <c r="B53" t="inlineStr">
        <is>
          <t>13485534</t>
        </is>
      </c>
      <c r="C53" t="inlineStr">
        <is>
          <t>GEM/2025/B/6155880</t>
        </is>
      </c>
      <c r="D53" t="inlineStr">
        <is>
          <t>handling &amp; transport servi</t>
        </is>
      </c>
      <c r="E53" t="inlineStr">
        <is>
          <t>Coal transport (road)</t>
        </is>
      </c>
      <c r="F53" t="inlineStr">
        <is>
          <t>South Eastern Coalfields Limited</t>
        </is>
      </c>
      <c r="G53" t="inlineStr">
        <is>
          <t>Chhattisgarh</t>
        </is>
      </c>
      <c r="H53" t="inlineStr">
        <is>
          <t>Korea</t>
        </is>
      </c>
      <c r="I53" t="inlineStr">
        <is>
          <t>2025-05-07</t>
        </is>
      </c>
      <c r="J53" t="inlineStr">
        <is>
          <t>AOC</t>
        </is>
      </c>
      <c r="K53" t="inlineStr">
        <is>
          <t>M/S Chandan Kumar Singh</t>
        </is>
      </c>
      <c r="L53" t="inlineStr"/>
      <c r="M53" t="inlineStr">
        <is>
          <t>5 named / 8</t>
        </is>
      </c>
      <c r="N53" t="n">
        <v>5.33</v>
      </c>
      <c r="O53" t="n">
        <v>174</v>
      </c>
      <c r="P53">
        <f>MAX(O53,Settings!$B$13)*Settings!$B$7</f>
        <v/>
      </c>
      <c r="Q53">
        <f>MAX(O53,Settings!$B$13)*Settings!$B$8</f>
        <v/>
      </c>
      <c r="R53" s="4">
        <f>MAX(P53*Settings!$B$5,IF(ISNUMBER(Settings!$B$12),Settings!$B$12,0))*(1+IF(Settings!$B$11="Y",0,Settings!$B$10/100))+N(Settings!$B$9)</f>
        <v/>
      </c>
      <c r="S53" s="4">
        <f>IF(Q53&gt;1000,"beyond table",IFERROR(LOOKUP(Q53,'FOIS 145A'!$A$2:$A$22,'FOIS 145A'!$C$2:$C$22),""))</f>
        <v/>
      </c>
      <c r="T53" s="4">
        <f>IF(ISNUMBER(S53),S53*(1+IF(Settings!$B$11="Y",0,Settings!$B$10/100))+2*N(Settings!$B$9),"")</f>
        <v/>
      </c>
      <c r="U53">
        <f>IF(ISNUMBER(T53),IF(T53&lt;R53,"Rail","Road"),"")</f>
        <v/>
      </c>
      <c r="V53" s="4">
        <f>IF(ISNUMBER(T53),ABS(R53-T53),"")</f>
        <v/>
      </c>
      <c r="W53">
        <f>IF(OR(ISNUMBER(SEARCH("siding",D53)),ISNUMBER(SEARCH("rcr",D53)),ISNUMBER(SEARCH("rail",D53)),ISNUMBER(SEARCH("wagon",D53))),"Yes - siding/rail in title","Check")</f>
        <v/>
      </c>
      <c r="X53">
        <f>Settings!$B$6</f>
        <v/>
      </c>
    </row>
    <row r="54">
      <c r="A54" t="inlineStr">
        <is>
          <t>B 150-300 km</t>
        </is>
      </c>
      <c r="B54" t="inlineStr">
        <is>
          <t>13513655</t>
        </is>
      </c>
      <c r="C54" t="inlineStr">
        <is>
          <t>GEM/2025/B/6174810</t>
        </is>
      </c>
      <c r="D54" t="inlineStr">
        <is>
          <t>coal transportation from k</t>
        </is>
      </c>
      <c r="E54" t="inlineStr">
        <is>
          <t>Coal transport (road)</t>
        </is>
      </c>
      <c r="F54" t="inlineStr">
        <is>
          <t>South Eastern Coalfields Limited</t>
        </is>
      </c>
      <c r="G54" t="inlineStr">
        <is>
          <t>Chhattisgarh</t>
        </is>
      </c>
      <c r="H54" t="inlineStr">
        <is>
          <t>Korea</t>
        </is>
      </c>
      <c r="I54" t="inlineStr">
        <is>
          <t>2025-05-06</t>
        </is>
      </c>
      <c r="J54" t="inlineStr">
        <is>
          <t>AOC</t>
        </is>
      </c>
      <c r="K54" t="inlineStr">
        <is>
          <t>Harsh Roadlines Private Limited</t>
        </is>
      </c>
      <c r="L54" t="inlineStr"/>
      <c r="M54" t="inlineStr">
        <is>
          <t>4 named / 4</t>
        </is>
      </c>
      <c r="N54" t="n">
        <v>0.41</v>
      </c>
      <c r="O54" t="n">
        <v>174</v>
      </c>
      <c r="P54">
        <f>MAX(O54,Settings!$B$13)*Settings!$B$7</f>
        <v/>
      </c>
      <c r="Q54">
        <f>MAX(O54,Settings!$B$13)*Settings!$B$8</f>
        <v/>
      </c>
      <c r="R54" s="4">
        <f>MAX(P54*Settings!$B$5,IF(ISNUMBER(Settings!$B$12),Settings!$B$12,0))*(1+IF(Settings!$B$11="Y",0,Settings!$B$10/100))+N(Settings!$B$9)</f>
        <v/>
      </c>
      <c r="S54" s="4">
        <f>IF(Q54&gt;1000,"beyond table",IFERROR(LOOKUP(Q54,'FOIS 145A'!$A$2:$A$22,'FOIS 145A'!$C$2:$C$22),""))</f>
        <v/>
      </c>
      <c r="T54" s="4">
        <f>IF(ISNUMBER(S54),S54*(1+IF(Settings!$B$11="Y",0,Settings!$B$10/100))+2*N(Settings!$B$9),"")</f>
        <v/>
      </c>
      <c r="U54">
        <f>IF(ISNUMBER(T54),IF(T54&lt;R54,"Rail","Road"),"")</f>
        <v/>
      </c>
      <c r="V54" s="4">
        <f>IF(ISNUMBER(T54),ABS(R54-T54),"")</f>
        <v/>
      </c>
      <c r="W54">
        <f>IF(OR(ISNUMBER(SEARCH("siding",D54)),ISNUMBER(SEARCH("rcr",D54)),ISNUMBER(SEARCH("rail",D54)),ISNUMBER(SEARCH("wagon",D54))),"Yes - siding/rail in title","Check")</f>
        <v/>
      </c>
      <c r="X54">
        <f>Settings!$B$6</f>
        <v/>
      </c>
    </row>
    <row r="55">
      <c r="A55" t="inlineStr">
        <is>
          <t>B 150-300 km</t>
        </is>
      </c>
      <c r="B55" t="inlineStr">
        <is>
          <t>13180185</t>
        </is>
      </c>
      <c r="C55" t="inlineStr">
        <is>
          <t>GEM/2025/B/6070928</t>
        </is>
      </c>
      <c r="D55" t="inlineStr">
        <is>
          <t>hiring of payloader for lo</t>
        </is>
      </c>
      <c r="E55" t="inlineStr">
        <is>
          <t>Other</t>
        </is>
      </c>
      <c r="F55" t="inlineStr">
        <is>
          <t>South Eastern Coalfields Limited</t>
        </is>
      </c>
      <c r="G55" t="inlineStr">
        <is>
          <t>Chhattisgarh</t>
        </is>
      </c>
      <c r="H55" t="inlineStr">
        <is>
          <t>Korea</t>
        </is>
      </c>
      <c r="I55" t="inlineStr">
        <is>
          <t>2025-04-04</t>
        </is>
      </c>
      <c r="J55" t="inlineStr">
        <is>
          <t>AOC</t>
        </is>
      </c>
      <c r="K55" t="inlineStr">
        <is>
          <t>G K Associates</t>
        </is>
      </c>
      <c r="L55" t="inlineStr">
        <is>
          <t>G K Associates</t>
        </is>
      </c>
      <c r="M55" t="inlineStr">
        <is>
          <t>5 named / 14</t>
        </is>
      </c>
      <c r="N55" t="n">
        <v>37.74</v>
      </c>
      <c r="O55" t="n">
        <v>174</v>
      </c>
      <c r="P55">
        <f>MAX(O55,Settings!$B$13)*Settings!$B$7</f>
        <v/>
      </c>
      <c r="Q55">
        <f>MAX(O55,Settings!$B$13)*Settings!$B$8</f>
        <v/>
      </c>
      <c r="R55" s="4">
        <f>MAX(P55*Settings!$B$5,IF(ISNUMBER(Settings!$B$12),Settings!$B$12,0))*(1+IF(Settings!$B$11="Y",0,Settings!$B$10/100))+N(Settings!$B$9)</f>
        <v/>
      </c>
      <c r="S55" s="4">
        <f>IF(Q55&gt;1000,"beyond table",IFERROR(LOOKUP(Q55,'FOIS 145A'!$A$2:$A$22,'FOIS 145A'!$C$2:$C$22),""))</f>
        <v/>
      </c>
      <c r="T55" s="4">
        <f>IF(ISNUMBER(S55),S55*(1+IF(Settings!$B$11="Y",0,Settings!$B$10/100))+2*N(Settings!$B$9),"")</f>
        <v/>
      </c>
      <c r="U55">
        <f>IF(ISNUMBER(T55),IF(T55&lt;R55,"Rail","Road"),"")</f>
        <v/>
      </c>
      <c r="V55" s="4">
        <f>IF(ISNUMBER(T55),ABS(R55-T55),"")</f>
        <v/>
      </c>
      <c r="W55">
        <f>IF(OR(ISNUMBER(SEARCH("siding",D55)),ISNUMBER(SEARCH("rcr",D55)),ISNUMBER(SEARCH("rail",D55)),ISNUMBER(SEARCH("wagon",D55))),"Yes - siding/rail in title","Check")</f>
        <v/>
      </c>
      <c r="X55">
        <f>Settings!$B$6</f>
        <v/>
      </c>
    </row>
    <row r="56">
      <c r="A56" t="inlineStr">
        <is>
          <t>B 150-300 km</t>
        </is>
      </c>
      <c r="B56" t="inlineStr">
        <is>
          <t>13097848</t>
        </is>
      </c>
      <c r="C56" t="inlineStr">
        <is>
          <t>GEM/2025/B/6038225</t>
        </is>
      </c>
      <c r="D56" t="inlineStr">
        <is>
          <t>hiring of pay loader for l</t>
        </is>
      </c>
      <c r="E56" t="inlineStr">
        <is>
          <t>Other</t>
        </is>
      </c>
      <c r="F56" t="inlineStr">
        <is>
          <t>South Eastern Coalfields Limited</t>
        </is>
      </c>
      <c r="G56" t="inlineStr">
        <is>
          <t>Chhattisgarh</t>
        </is>
      </c>
      <c r="H56" t="inlineStr">
        <is>
          <t>Korea</t>
        </is>
      </c>
      <c r="I56" t="inlineStr">
        <is>
          <t>2025-03-24</t>
        </is>
      </c>
      <c r="J56" t="inlineStr">
        <is>
          <t>AOC</t>
        </is>
      </c>
      <c r="K56" t="inlineStr">
        <is>
          <t>G K Associates, M/S Ramesh Kumar Agrawal And Sons, Vivek Construction</t>
        </is>
      </c>
      <c r="L56" t="inlineStr">
        <is>
          <t>G K Associates</t>
        </is>
      </c>
      <c r="M56" t="inlineStr">
        <is>
          <t>5 named / 17</t>
        </is>
      </c>
      <c r="N56" t="n">
        <v>25.16</v>
      </c>
      <c r="O56" t="n">
        <v>174</v>
      </c>
      <c r="P56">
        <f>MAX(O56,Settings!$B$13)*Settings!$B$7</f>
        <v/>
      </c>
      <c r="Q56">
        <f>MAX(O56,Settings!$B$13)*Settings!$B$8</f>
        <v/>
      </c>
      <c r="R56" s="4">
        <f>MAX(P56*Settings!$B$5,IF(ISNUMBER(Settings!$B$12),Settings!$B$12,0))*(1+IF(Settings!$B$11="Y",0,Settings!$B$10/100))+N(Settings!$B$9)</f>
        <v/>
      </c>
      <c r="S56" s="4">
        <f>IF(Q56&gt;1000,"beyond table",IFERROR(LOOKUP(Q56,'FOIS 145A'!$A$2:$A$22,'FOIS 145A'!$C$2:$C$22),""))</f>
        <v/>
      </c>
      <c r="T56" s="4">
        <f>IF(ISNUMBER(S56),S56*(1+IF(Settings!$B$11="Y",0,Settings!$B$10/100))+2*N(Settings!$B$9),"")</f>
        <v/>
      </c>
      <c r="U56">
        <f>IF(ISNUMBER(T56),IF(T56&lt;R56,"Rail","Road"),"")</f>
        <v/>
      </c>
      <c r="V56" s="4">
        <f>IF(ISNUMBER(T56),ABS(R56-T56),"")</f>
        <v/>
      </c>
      <c r="W56">
        <f>IF(OR(ISNUMBER(SEARCH("siding",D56)),ISNUMBER(SEARCH("rcr",D56)),ISNUMBER(SEARCH("rail",D56)),ISNUMBER(SEARCH("wagon",D56))),"Yes - siding/rail in title","Check")</f>
        <v/>
      </c>
      <c r="X56">
        <f>Settings!$B$6</f>
        <v/>
      </c>
    </row>
    <row r="57">
      <c r="A57" t="inlineStr">
        <is>
          <t>B 150-300 km</t>
        </is>
      </c>
      <c r="B57" t="inlineStr">
        <is>
          <t>18318696</t>
        </is>
      </c>
      <c r="C57" t="inlineStr">
        <is>
          <t>2026_NTPC_112091_1</t>
        </is>
      </c>
      <c r="D57" t="inlineStr">
        <is>
          <t>coal transportation from bccl sijua mine to ntpc unchahar through rcr - coal transportation from bccl sijua mine to ntpc unchahar through rc</t>
        </is>
      </c>
      <c r="E57" t="inlineStr">
        <is>
          <t>Coal transport (RCR / siding)</t>
        </is>
      </c>
      <c r="F57" t="inlineStr">
        <is>
          <t>National Thermal Power Corporation Limited</t>
        </is>
      </c>
      <c r="G57" t="inlineStr">
        <is>
          <t>Chhattisgarh</t>
        </is>
      </c>
      <c r="H57" t="inlineStr">
        <is>
          <t>Raipur</t>
        </is>
      </c>
      <c r="I57" t="inlineStr">
        <is>
          <t>2026-09-26</t>
        </is>
      </c>
      <c r="J57" t="inlineStr">
        <is>
          <t>AOC</t>
        </is>
      </c>
      <c r="K57" t="inlineStr">
        <is>
          <t>Swami Fuels Private Limited</t>
        </is>
      </c>
      <c r="L57" t="inlineStr">
        <is>
          <t>Bharat Road Carrier, Godavari Commodities, Mohit Minerals</t>
        </is>
      </c>
      <c r="M57" t="inlineStr">
        <is>
          <t>5 named / 14</t>
        </is>
      </c>
      <c r="N57" t="n">
        <v>3.87</v>
      </c>
      <c r="O57" t="n">
        <v>197</v>
      </c>
      <c r="P57">
        <f>MAX(O57,Settings!$B$13)*Settings!$B$7</f>
        <v/>
      </c>
      <c r="Q57">
        <f>MAX(O57,Settings!$B$13)*Settings!$B$8</f>
        <v/>
      </c>
      <c r="R57" s="4">
        <f>MAX(P57*Settings!$B$5,IF(ISNUMBER(Settings!$B$12),Settings!$B$12,0))*(1+IF(Settings!$B$11="Y",0,Settings!$B$10/100))+N(Settings!$B$9)</f>
        <v/>
      </c>
      <c r="S57" s="4">
        <f>IF(Q57&gt;1000,"beyond table",IFERROR(LOOKUP(Q57,'FOIS 145A'!$A$2:$A$22,'FOIS 145A'!$C$2:$C$22),""))</f>
        <v/>
      </c>
      <c r="T57" s="4">
        <f>IF(ISNUMBER(S57),S57*(1+IF(Settings!$B$11="Y",0,Settings!$B$10/100))+2*N(Settings!$B$9),"")</f>
        <v/>
      </c>
      <c r="U57">
        <f>IF(ISNUMBER(T57),IF(T57&lt;R57,"Rail","Road"),"")</f>
        <v/>
      </c>
      <c r="V57" s="4">
        <f>IF(ISNUMBER(T57),ABS(R57-T57),"")</f>
        <v/>
      </c>
      <c r="W57">
        <f>IF(OR(ISNUMBER(SEARCH("siding",D57)),ISNUMBER(SEARCH("rcr",D57)),ISNUMBER(SEARCH("rail",D57)),ISNUMBER(SEARCH("wagon",D57))),"Yes - siding/rail in title","Check")</f>
        <v/>
      </c>
      <c r="X57">
        <f>Settings!$B$6</f>
        <v/>
      </c>
    </row>
    <row r="58">
      <c r="A58" t="inlineStr">
        <is>
          <t>B 150-300 km</t>
        </is>
      </c>
      <c r="B58" t="inlineStr">
        <is>
          <t>18308879</t>
        </is>
      </c>
      <c r="C58" t="inlineStr">
        <is>
          <t>2026_NTPC_112064_1</t>
        </is>
      </c>
      <c r="D58" t="inlineStr">
        <is>
          <t>contract for transportation of coal from akk and karo mines of b and k area of central coalfields ltd (ccl) to ntpc nabinagar under road cum</t>
        </is>
      </c>
      <c r="E58" t="inlineStr">
        <is>
          <t>Coal transport (RCR / siding)</t>
        </is>
      </c>
      <c r="F58" t="inlineStr">
        <is>
          <t>National Thermal Power Corporation Limited</t>
        </is>
      </c>
      <c r="G58" t="inlineStr">
        <is>
          <t>Chhattisgarh</t>
        </is>
      </c>
      <c r="H58" t="inlineStr">
        <is>
          <t>Raipur</t>
        </is>
      </c>
      <c r="I58" t="inlineStr">
        <is>
          <t>2026-09-25</t>
        </is>
      </c>
      <c r="J58" t="inlineStr">
        <is>
          <t>AOC</t>
        </is>
      </c>
      <c r="K58" t="inlineStr">
        <is>
          <t>Swami Fuels Private Limited</t>
        </is>
      </c>
      <c r="L58" t="inlineStr">
        <is>
          <t>Bharat Road Carrier, Godavari Commodities</t>
        </is>
      </c>
      <c r="M58" t="inlineStr">
        <is>
          <t>5 named / 12</t>
        </is>
      </c>
      <c r="N58" t="n">
        <v>5.54</v>
      </c>
      <c r="O58" t="n">
        <v>197</v>
      </c>
      <c r="P58">
        <f>MAX(O58,Settings!$B$13)*Settings!$B$7</f>
        <v/>
      </c>
      <c r="Q58">
        <f>MAX(O58,Settings!$B$13)*Settings!$B$8</f>
        <v/>
      </c>
      <c r="R58" s="4">
        <f>MAX(P58*Settings!$B$5,IF(ISNUMBER(Settings!$B$12),Settings!$B$12,0))*(1+IF(Settings!$B$11="Y",0,Settings!$B$10/100))+N(Settings!$B$9)</f>
        <v/>
      </c>
      <c r="S58" s="4">
        <f>IF(Q58&gt;1000,"beyond table",IFERROR(LOOKUP(Q58,'FOIS 145A'!$A$2:$A$22,'FOIS 145A'!$C$2:$C$22),""))</f>
        <v/>
      </c>
      <c r="T58" s="4">
        <f>IF(ISNUMBER(S58),S58*(1+IF(Settings!$B$11="Y",0,Settings!$B$10/100))+2*N(Settings!$B$9),"")</f>
        <v/>
      </c>
      <c r="U58">
        <f>IF(ISNUMBER(T58),IF(T58&lt;R58,"Rail","Road"),"")</f>
        <v/>
      </c>
      <c r="V58" s="4">
        <f>IF(ISNUMBER(T58),ABS(R58-T58),"")</f>
        <v/>
      </c>
      <c r="W58">
        <f>IF(OR(ISNUMBER(SEARCH("siding",D58)),ISNUMBER(SEARCH("rcr",D58)),ISNUMBER(SEARCH("rail",D58)),ISNUMBER(SEARCH("wagon",D58))),"Yes - siding/rail in title","Check")</f>
        <v/>
      </c>
      <c r="X58">
        <f>Settings!$B$6</f>
        <v/>
      </c>
    </row>
    <row r="59">
      <c r="A59" t="inlineStr">
        <is>
          <t>B 150-300 km</t>
        </is>
      </c>
      <c r="B59" t="inlineStr">
        <is>
          <t>18306347</t>
        </is>
      </c>
      <c r="C59" t="inlineStr">
        <is>
          <t>2026_NTPC_112047_1</t>
        </is>
      </c>
      <c r="D59" t="inlineStr">
        <is>
          <t>contract for transportation of coal by road from salanpur area to ntpc unchahar through rcr mode - as per sow</t>
        </is>
      </c>
      <c r="E59" t="inlineStr">
        <is>
          <t>Coal transport (RCR / siding)</t>
        </is>
      </c>
      <c r="F59" t="inlineStr">
        <is>
          <t>National Thermal Power Corporation Limited</t>
        </is>
      </c>
      <c r="G59" t="inlineStr">
        <is>
          <t>Chhattisgarh</t>
        </is>
      </c>
      <c r="H59" t="inlineStr">
        <is>
          <t>Raipur</t>
        </is>
      </c>
      <c r="I59" t="inlineStr">
        <is>
          <t>2026-09-25</t>
        </is>
      </c>
      <c r="J59" t="inlineStr">
        <is>
          <t>Financial</t>
        </is>
      </c>
      <c r="K59" t="inlineStr">
        <is>
          <t>-</t>
        </is>
      </c>
      <c r="L59" t="inlineStr">
        <is>
          <t>Bharat Road Carrier, Godavari Commodities, Nkas Services, Sangita Sales</t>
        </is>
      </c>
      <c r="M59" t="inlineStr">
        <is>
          <t>5 named / 8</t>
        </is>
      </c>
      <c r="O59" t="n">
        <v>197</v>
      </c>
      <c r="P59">
        <f>MAX(O59,Settings!$B$13)*Settings!$B$7</f>
        <v/>
      </c>
      <c r="Q59">
        <f>MAX(O59,Settings!$B$13)*Settings!$B$8</f>
        <v/>
      </c>
      <c r="R59" s="4">
        <f>MAX(P59*Settings!$B$5,IF(ISNUMBER(Settings!$B$12),Settings!$B$12,0))*(1+IF(Settings!$B$11="Y",0,Settings!$B$10/100))+N(Settings!$B$9)</f>
        <v/>
      </c>
      <c r="S59" s="4">
        <f>IF(Q59&gt;1000,"beyond table",IFERROR(LOOKUP(Q59,'FOIS 145A'!$A$2:$A$22,'FOIS 145A'!$C$2:$C$22),""))</f>
        <v/>
      </c>
      <c r="T59" s="4">
        <f>IF(ISNUMBER(S59),S59*(1+IF(Settings!$B$11="Y",0,Settings!$B$10/100))+2*N(Settings!$B$9),"")</f>
        <v/>
      </c>
      <c r="U59">
        <f>IF(ISNUMBER(T59),IF(T59&lt;R59,"Rail","Road"),"")</f>
        <v/>
      </c>
      <c r="V59" s="4">
        <f>IF(ISNUMBER(T59),ABS(R59-T59),"")</f>
        <v/>
      </c>
      <c r="W59">
        <f>IF(OR(ISNUMBER(SEARCH("siding",D59)),ISNUMBER(SEARCH("rcr",D59)),ISNUMBER(SEARCH("rail",D59)),ISNUMBER(SEARCH("wagon",D59))),"Yes - siding/rail in title","Check")</f>
        <v/>
      </c>
      <c r="X59">
        <f>Settings!$B$6</f>
        <v/>
      </c>
    </row>
    <row r="60">
      <c r="A60" t="inlineStr">
        <is>
          <t>B 150-300 km</t>
        </is>
      </c>
      <c r="B60" t="inlineStr">
        <is>
          <t>18306348</t>
        </is>
      </c>
      <c r="C60" t="inlineStr">
        <is>
          <t>2026_NTPC_112044_1</t>
        </is>
      </c>
      <c r="D60" t="inlineStr">
        <is>
          <t>transportation of 200000 mt of coal from mcl mines (int. lbl) to ntpc - transportation of 200000 mt of coal from mcl mines (int. lbl) to ntp</t>
        </is>
      </c>
      <c r="E60" t="inlineStr">
        <is>
          <t>Coal transport (RCR / siding)</t>
        </is>
      </c>
      <c r="F60" t="inlineStr">
        <is>
          <t>National Thermal Power Corporation Limited</t>
        </is>
      </c>
      <c r="G60" t="inlineStr">
        <is>
          <t>Chhattisgarh</t>
        </is>
      </c>
      <c r="H60" t="inlineStr">
        <is>
          <t>Raipur</t>
        </is>
      </c>
      <c r="I60" t="inlineStr">
        <is>
          <t>2026-09-25</t>
        </is>
      </c>
      <c r="J60" t="inlineStr">
        <is>
          <t>AOC</t>
        </is>
      </c>
      <c r="K60" t="inlineStr">
        <is>
          <t>Bharat Road Carrier Private Limited</t>
        </is>
      </c>
      <c r="L60" t="inlineStr">
        <is>
          <t>Anoop Road Carriers, Bharat Road Carrier, Sangita Sales, Swami Fuels</t>
        </is>
      </c>
      <c r="M60" t="inlineStr">
        <is>
          <t>5 named / 6</t>
        </is>
      </c>
      <c r="N60" t="n">
        <v>7.84</v>
      </c>
      <c r="O60" t="n">
        <v>197</v>
      </c>
      <c r="P60">
        <f>MAX(O60,Settings!$B$13)*Settings!$B$7</f>
        <v/>
      </c>
      <c r="Q60">
        <f>MAX(O60,Settings!$B$13)*Settings!$B$8</f>
        <v/>
      </c>
      <c r="R60" s="4">
        <f>MAX(P60*Settings!$B$5,IF(ISNUMBER(Settings!$B$12),Settings!$B$12,0))*(1+IF(Settings!$B$11="Y",0,Settings!$B$10/100))+N(Settings!$B$9)</f>
        <v/>
      </c>
      <c r="S60" s="4">
        <f>IF(Q60&gt;1000,"beyond table",IFERROR(LOOKUP(Q60,'FOIS 145A'!$A$2:$A$22,'FOIS 145A'!$C$2:$C$22),""))</f>
        <v/>
      </c>
      <c r="T60" s="4">
        <f>IF(ISNUMBER(S60),S60*(1+IF(Settings!$B$11="Y",0,Settings!$B$10/100))+2*N(Settings!$B$9),"")</f>
        <v/>
      </c>
      <c r="U60">
        <f>IF(ISNUMBER(T60),IF(T60&lt;R60,"Rail","Road"),"")</f>
        <v/>
      </c>
      <c r="V60" s="4">
        <f>IF(ISNUMBER(T60),ABS(R60-T60),"")</f>
        <v/>
      </c>
      <c r="W60">
        <f>IF(OR(ISNUMBER(SEARCH("siding",D60)),ISNUMBER(SEARCH("rcr",D60)),ISNUMBER(SEARCH("rail",D60)),ISNUMBER(SEARCH("wagon",D60))),"Yes - siding/rail in title","Check")</f>
        <v/>
      </c>
      <c r="X60">
        <f>Settings!$B$6</f>
        <v/>
      </c>
    </row>
    <row r="61">
      <c r="A61" t="inlineStr">
        <is>
          <t>B 150-300 km</t>
        </is>
      </c>
      <c r="B61" t="inlineStr">
        <is>
          <t>18314234</t>
        </is>
      </c>
      <c r="C61" t="inlineStr">
        <is>
          <t>2026_NTPC_112042_1</t>
        </is>
      </c>
      <c r="D61" t="inlineStr">
        <is>
          <t>transportation of coal by road from ukni deep mines of western - transportation of coal by road from ukni deep mines of westerncoalfields lt</t>
        </is>
      </c>
      <c r="E61" t="inlineStr">
        <is>
          <t>Coal transport (RCR / siding)</t>
        </is>
      </c>
      <c r="F61" t="inlineStr">
        <is>
          <t>National Thermal Power Corporation Limited</t>
        </is>
      </c>
      <c r="G61" t="inlineStr">
        <is>
          <t>Chhattisgarh</t>
        </is>
      </c>
      <c r="H61" t="inlineStr">
        <is>
          <t>Raipur</t>
        </is>
      </c>
      <c r="I61" t="inlineStr">
        <is>
          <t>2026-09-25</t>
        </is>
      </c>
      <c r="J61" t="inlineStr">
        <is>
          <t>AOC</t>
        </is>
      </c>
      <c r="K61" t="inlineStr">
        <is>
          <t>Swami Fuels Private Limited</t>
        </is>
      </c>
      <c r="L61" t="inlineStr">
        <is>
          <t>Bharat Road Carrier, Godavari Commodities</t>
        </is>
      </c>
      <c r="M61" t="inlineStr">
        <is>
          <t>5 named / 16</t>
        </is>
      </c>
      <c r="N61" t="n">
        <v>1.89</v>
      </c>
      <c r="O61" t="n">
        <v>197</v>
      </c>
      <c r="P61">
        <f>MAX(O61,Settings!$B$13)*Settings!$B$7</f>
        <v/>
      </c>
      <c r="Q61">
        <f>MAX(O61,Settings!$B$13)*Settings!$B$8</f>
        <v/>
      </c>
      <c r="R61" s="4">
        <f>MAX(P61*Settings!$B$5,IF(ISNUMBER(Settings!$B$12),Settings!$B$12,0))*(1+IF(Settings!$B$11="Y",0,Settings!$B$10/100))+N(Settings!$B$9)</f>
        <v/>
      </c>
      <c r="S61" s="4">
        <f>IF(Q61&gt;1000,"beyond table",IFERROR(LOOKUP(Q61,'FOIS 145A'!$A$2:$A$22,'FOIS 145A'!$C$2:$C$22),""))</f>
        <v/>
      </c>
      <c r="T61" s="4">
        <f>IF(ISNUMBER(S61),S61*(1+IF(Settings!$B$11="Y",0,Settings!$B$10/100))+2*N(Settings!$B$9),"")</f>
        <v/>
      </c>
      <c r="U61">
        <f>IF(ISNUMBER(T61),IF(T61&lt;R61,"Rail","Road"),"")</f>
        <v/>
      </c>
      <c r="V61" s="4">
        <f>IF(ISNUMBER(T61),ABS(R61-T61),"")</f>
        <v/>
      </c>
      <c r="W61">
        <f>IF(OR(ISNUMBER(SEARCH("siding",D61)),ISNUMBER(SEARCH("rcr",D61)),ISNUMBER(SEARCH("rail",D61)),ISNUMBER(SEARCH("wagon",D61))),"Yes - siding/rail in title","Check")</f>
        <v/>
      </c>
      <c r="X61">
        <f>Settings!$B$6</f>
        <v/>
      </c>
    </row>
    <row r="62">
      <c r="A62" t="inlineStr">
        <is>
          <t>B 150-300 km</t>
        </is>
      </c>
      <c r="B62" t="inlineStr">
        <is>
          <t>18308880</t>
        </is>
      </c>
      <c r="C62" t="inlineStr">
        <is>
          <t>2026_NTPC_112039_1</t>
        </is>
      </c>
      <c r="D62" t="inlineStr">
        <is>
          <t>loading and transportation of 1,93,000 mt coal through rcr mode from - loading and transportation of 1,93,000 mt coal through rcr mode fromc</t>
        </is>
      </c>
      <c r="E62" t="inlineStr">
        <is>
          <t>Coal transport (RCR / siding)</t>
        </is>
      </c>
      <c r="F62" t="inlineStr">
        <is>
          <t>National Thermal Power Corporation Limited</t>
        </is>
      </c>
      <c r="G62" t="inlineStr">
        <is>
          <t>Chhattisgarh</t>
        </is>
      </c>
      <c r="H62" t="inlineStr">
        <is>
          <t>Raipur</t>
        </is>
      </c>
      <c r="I62" t="inlineStr">
        <is>
          <t>2026-09-24</t>
        </is>
      </c>
      <c r="J62" t="inlineStr">
        <is>
          <t>AOC</t>
        </is>
      </c>
      <c r="K62" t="inlineStr">
        <is>
          <t>Sarneshwar Transport And Construction Private Limited</t>
        </is>
      </c>
      <c r="L62" t="inlineStr">
        <is>
          <t>Bharat Road Carrier, Godavari Commodities, Nkas Services, Sangita Sales</t>
        </is>
      </c>
      <c r="M62" t="inlineStr">
        <is>
          <t>5 named / 9</t>
        </is>
      </c>
      <c r="N62" t="n">
        <v>9.26</v>
      </c>
      <c r="O62" t="n">
        <v>197</v>
      </c>
      <c r="P62">
        <f>MAX(O62,Settings!$B$13)*Settings!$B$7</f>
        <v/>
      </c>
      <c r="Q62">
        <f>MAX(O62,Settings!$B$13)*Settings!$B$8</f>
        <v/>
      </c>
      <c r="R62" s="4">
        <f>MAX(P62*Settings!$B$5,IF(ISNUMBER(Settings!$B$12),Settings!$B$12,0))*(1+IF(Settings!$B$11="Y",0,Settings!$B$10/100))+N(Settings!$B$9)</f>
        <v/>
      </c>
      <c r="S62" s="4">
        <f>IF(Q62&gt;1000,"beyond table",IFERROR(LOOKUP(Q62,'FOIS 145A'!$A$2:$A$22,'FOIS 145A'!$C$2:$C$22),""))</f>
        <v/>
      </c>
      <c r="T62" s="4">
        <f>IF(ISNUMBER(S62),S62*(1+IF(Settings!$B$11="Y",0,Settings!$B$10/100))+2*N(Settings!$B$9),"")</f>
        <v/>
      </c>
      <c r="U62">
        <f>IF(ISNUMBER(T62),IF(T62&lt;R62,"Rail","Road"),"")</f>
        <v/>
      </c>
      <c r="V62" s="4">
        <f>IF(ISNUMBER(T62),ABS(R62-T62),"")</f>
        <v/>
      </c>
      <c r="W62">
        <f>IF(OR(ISNUMBER(SEARCH("siding",D62)),ISNUMBER(SEARCH("rcr",D62)),ISNUMBER(SEARCH("rail",D62)),ISNUMBER(SEARCH("wagon",D62))),"Yes - siding/rail in title","Check")</f>
        <v/>
      </c>
      <c r="X62">
        <f>Settings!$B$6</f>
        <v/>
      </c>
    </row>
    <row r="63">
      <c r="A63" t="inlineStr">
        <is>
          <t>B 150-300 km</t>
        </is>
      </c>
      <c r="B63" t="inlineStr">
        <is>
          <t>18294456</t>
        </is>
      </c>
      <c r="C63" t="inlineStr">
        <is>
          <t>2026_NTPC_111977_1</t>
        </is>
      </c>
      <c r="D63" t="inlineStr">
        <is>
          <t>transportation of 200000 mt coal from mcl talcher area mines to ntpc - transportation of 200000 mt coal from mcl talcher area mines to ntpcs</t>
        </is>
      </c>
      <c r="E63" t="inlineStr">
        <is>
          <t>Coal transport (RCR / siding)</t>
        </is>
      </c>
      <c r="F63" t="inlineStr">
        <is>
          <t>National Thermal Power Corporation Limited</t>
        </is>
      </c>
      <c r="G63" t="inlineStr">
        <is>
          <t>Chhattisgarh</t>
        </is>
      </c>
      <c r="H63" t="inlineStr">
        <is>
          <t>Raipur</t>
        </is>
      </c>
      <c r="I63" t="inlineStr">
        <is>
          <t>2026-09-23</t>
        </is>
      </c>
      <c r="J63" t="inlineStr">
        <is>
          <t>AOC</t>
        </is>
      </c>
      <c r="K63" t="inlineStr">
        <is>
          <t>Bharat Road Carrier Private Limited</t>
        </is>
      </c>
      <c r="L63" t="inlineStr">
        <is>
          <t>Bharat Road Carrier, Sendoz Impex</t>
        </is>
      </c>
      <c r="M63" t="inlineStr">
        <is>
          <t>3 named / 3</t>
        </is>
      </c>
      <c r="N63" t="n">
        <v>8.199999999999999</v>
      </c>
      <c r="O63" t="n">
        <v>197</v>
      </c>
      <c r="P63">
        <f>MAX(O63,Settings!$B$13)*Settings!$B$7</f>
        <v/>
      </c>
      <c r="Q63">
        <f>MAX(O63,Settings!$B$13)*Settings!$B$8</f>
        <v/>
      </c>
      <c r="R63" s="4">
        <f>MAX(P63*Settings!$B$5,IF(ISNUMBER(Settings!$B$12),Settings!$B$12,0))*(1+IF(Settings!$B$11="Y",0,Settings!$B$10/100))+N(Settings!$B$9)</f>
        <v/>
      </c>
      <c r="S63" s="4">
        <f>IF(Q63&gt;1000,"beyond table",IFERROR(LOOKUP(Q63,'FOIS 145A'!$A$2:$A$22,'FOIS 145A'!$C$2:$C$22),""))</f>
        <v/>
      </c>
      <c r="T63" s="4">
        <f>IF(ISNUMBER(S63),S63*(1+IF(Settings!$B$11="Y",0,Settings!$B$10/100))+2*N(Settings!$B$9),"")</f>
        <v/>
      </c>
      <c r="U63">
        <f>IF(ISNUMBER(T63),IF(T63&lt;R63,"Rail","Road"),"")</f>
        <v/>
      </c>
      <c r="V63" s="4">
        <f>IF(ISNUMBER(T63),ABS(R63-T63),"")</f>
        <v/>
      </c>
      <c r="W63">
        <f>IF(OR(ISNUMBER(SEARCH("siding",D63)),ISNUMBER(SEARCH("rcr",D63)),ISNUMBER(SEARCH("rail",D63)),ISNUMBER(SEARCH("wagon",D63))),"Yes - siding/rail in title","Check")</f>
        <v/>
      </c>
      <c r="X63">
        <f>Settings!$B$6</f>
        <v/>
      </c>
    </row>
    <row r="64">
      <c r="A64" t="inlineStr">
        <is>
          <t>B 150-300 km</t>
        </is>
      </c>
      <c r="B64" t="inlineStr">
        <is>
          <t>18306349</t>
        </is>
      </c>
      <c r="C64" t="inlineStr">
        <is>
          <t>2026_NTPC_111933_1</t>
        </is>
      </c>
      <c r="D64" t="inlineStr">
        <is>
          <t>transportation of 2 lmt coal from nlc talabira mines to ntpc simhadri through rcr mode - as per sow</t>
        </is>
      </c>
      <c r="E64" t="inlineStr">
        <is>
          <t>Coal transport (RCR / siding)</t>
        </is>
      </c>
      <c r="F64" t="inlineStr">
        <is>
          <t>National Thermal Power Corporation Limited</t>
        </is>
      </c>
      <c r="G64" t="inlineStr">
        <is>
          <t>Chhattisgarh</t>
        </is>
      </c>
      <c r="H64" t="inlineStr">
        <is>
          <t>Raipur</t>
        </is>
      </c>
      <c r="I64" t="inlineStr">
        <is>
          <t>2026-09-23</t>
        </is>
      </c>
      <c r="J64" t="inlineStr">
        <is>
          <t>Financial</t>
        </is>
      </c>
      <c r="K64" t="inlineStr">
        <is>
          <t>-</t>
        </is>
      </c>
      <c r="L64" t="inlineStr">
        <is>
          <t>Anoop Road Carriers, Bharat Road Carrier, Mohit Minerals, Sangita Sales</t>
        </is>
      </c>
      <c r="M64" t="inlineStr">
        <is>
          <t>5 named / 8</t>
        </is>
      </c>
      <c r="O64" t="n">
        <v>197</v>
      </c>
      <c r="P64">
        <f>MAX(O64,Settings!$B$13)*Settings!$B$7</f>
        <v/>
      </c>
      <c r="Q64">
        <f>MAX(O64,Settings!$B$13)*Settings!$B$8</f>
        <v/>
      </c>
      <c r="R64" s="4">
        <f>MAX(P64*Settings!$B$5,IF(ISNUMBER(Settings!$B$12),Settings!$B$12,0))*(1+IF(Settings!$B$11="Y",0,Settings!$B$10/100))+N(Settings!$B$9)</f>
        <v/>
      </c>
      <c r="S64" s="4">
        <f>IF(Q64&gt;1000,"beyond table",IFERROR(LOOKUP(Q64,'FOIS 145A'!$A$2:$A$22,'FOIS 145A'!$C$2:$C$22),""))</f>
        <v/>
      </c>
      <c r="T64" s="4">
        <f>IF(ISNUMBER(S64),S64*(1+IF(Settings!$B$11="Y",0,Settings!$B$10/100))+2*N(Settings!$B$9),"")</f>
        <v/>
      </c>
      <c r="U64">
        <f>IF(ISNUMBER(T64),IF(T64&lt;R64,"Rail","Road"),"")</f>
        <v/>
      </c>
      <c r="V64" s="4">
        <f>IF(ISNUMBER(T64),ABS(R64-T64),"")</f>
        <v/>
      </c>
      <c r="W64">
        <f>IF(OR(ISNUMBER(SEARCH("siding",D64)),ISNUMBER(SEARCH("rcr",D64)),ISNUMBER(SEARCH("rail",D64)),ISNUMBER(SEARCH("wagon",D64))),"Yes - siding/rail in title","Check")</f>
        <v/>
      </c>
      <c r="X64">
        <f>Settings!$B$6</f>
        <v/>
      </c>
    </row>
    <row r="65">
      <c r="A65" t="inlineStr">
        <is>
          <t>B 150-300 km</t>
        </is>
      </c>
      <c r="B65" t="inlineStr">
        <is>
          <t>18286732</t>
        </is>
      </c>
      <c r="C65" t="inlineStr">
        <is>
          <t>2026_NTPC_111957_1</t>
        </is>
      </c>
      <c r="D65" t="inlineStr">
        <is>
          <t>coal transportation from nlc talabira mines to ntpc telangana(ttgr) - coal transportation from nlc talabira mines to ntpc telangana(ttgr)thr</t>
        </is>
      </c>
      <c r="E65" t="inlineStr">
        <is>
          <t>Coal transport (RCR / siding)</t>
        </is>
      </c>
      <c r="F65" t="inlineStr">
        <is>
          <t>National Thermal Power Corporation Limited</t>
        </is>
      </c>
      <c r="G65" t="inlineStr">
        <is>
          <t>Chhattisgarh</t>
        </is>
      </c>
      <c r="H65" t="inlineStr">
        <is>
          <t>Raipur</t>
        </is>
      </c>
      <c r="I65" t="inlineStr">
        <is>
          <t>2026-09-22</t>
        </is>
      </c>
      <c r="J65" t="inlineStr">
        <is>
          <t>AOC</t>
        </is>
      </c>
      <c r="K65" t="inlineStr">
        <is>
          <t>Swami Fuels Private Limited</t>
        </is>
      </c>
      <c r="L65" t="inlineStr">
        <is>
          <t>Anoop Road Carriers, Swami Fuels, Tirupati Minerals</t>
        </is>
      </c>
      <c r="M65" t="inlineStr">
        <is>
          <t>4 named / 4</t>
        </is>
      </c>
      <c r="N65" t="n">
        <v>6.68</v>
      </c>
      <c r="O65" t="n">
        <v>197</v>
      </c>
      <c r="P65">
        <f>MAX(O65,Settings!$B$13)*Settings!$B$7</f>
        <v/>
      </c>
      <c r="Q65">
        <f>MAX(O65,Settings!$B$13)*Settings!$B$8</f>
        <v/>
      </c>
      <c r="R65" s="4">
        <f>MAX(P65*Settings!$B$5,IF(ISNUMBER(Settings!$B$12),Settings!$B$12,0))*(1+IF(Settings!$B$11="Y",0,Settings!$B$10/100))+N(Settings!$B$9)</f>
        <v/>
      </c>
      <c r="S65" s="4">
        <f>IF(Q65&gt;1000,"beyond table",IFERROR(LOOKUP(Q65,'FOIS 145A'!$A$2:$A$22,'FOIS 145A'!$C$2:$C$22),""))</f>
        <v/>
      </c>
      <c r="T65" s="4">
        <f>IF(ISNUMBER(S65),S65*(1+IF(Settings!$B$11="Y",0,Settings!$B$10/100))+2*N(Settings!$B$9),"")</f>
        <v/>
      </c>
      <c r="U65">
        <f>IF(ISNUMBER(T65),IF(T65&lt;R65,"Rail","Road"),"")</f>
        <v/>
      </c>
      <c r="V65" s="4">
        <f>IF(ISNUMBER(T65),ABS(R65-T65),"")</f>
        <v/>
      </c>
      <c r="W65">
        <f>IF(OR(ISNUMBER(SEARCH("siding",D65)),ISNUMBER(SEARCH("rcr",D65)),ISNUMBER(SEARCH("rail",D65)),ISNUMBER(SEARCH("wagon",D65))),"Yes - siding/rail in title","Check")</f>
        <v/>
      </c>
      <c r="X65">
        <f>Settings!$B$6</f>
        <v/>
      </c>
    </row>
    <row r="66">
      <c r="A66" t="inlineStr">
        <is>
          <t>B 150-300 km</t>
        </is>
      </c>
      <c r="B66" t="inlineStr">
        <is>
          <t>18314236</t>
        </is>
      </c>
      <c r="C66" t="inlineStr">
        <is>
          <t>2026_NTPC_112009_1</t>
        </is>
      </c>
      <c r="D66" t="inlineStr">
        <is>
          <t>transportation of 164000 mt of coal from wcl mines penganga to ntpc</t>
        </is>
      </c>
      <c r="E66" t="inlineStr">
        <is>
          <t>Coal transport (road)</t>
        </is>
      </c>
      <c r="F66" t="inlineStr">
        <is>
          <t>National Thermal Power Corporation Limited</t>
        </is>
      </c>
      <c r="G66" t="inlineStr">
        <is>
          <t>Chhattisgarh</t>
        </is>
      </c>
      <c r="H66" t="inlineStr">
        <is>
          <t>Raipur</t>
        </is>
      </c>
      <c r="I66" t="inlineStr">
        <is>
          <t>2026-09-25</t>
        </is>
      </c>
      <c r="J66" t="inlineStr">
        <is>
          <t>AOC</t>
        </is>
      </c>
      <c r="K66" t="inlineStr">
        <is>
          <t>Swami Fuels Private Limited</t>
        </is>
      </c>
      <c r="L66" t="inlineStr">
        <is>
          <t>Bharat Road Carrier, Godavari Commodities</t>
        </is>
      </c>
      <c r="M66" t="inlineStr">
        <is>
          <t>5 named / 18</t>
        </is>
      </c>
      <c r="N66" t="n">
        <v>1.03</v>
      </c>
      <c r="O66" t="n">
        <v>197</v>
      </c>
      <c r="P66">
        <f>MAX(O66,Settings!$B$13)*Settings!$B$7</f>
        <v/>
      </c>
      <c r="Q66">
        <f>MAX(O66,Settings!$B$13)*Settings!$B$8</f>
        <v/>
      </c>
      <c r="R66" s="4">
        <f>MAX(P66*Settings!$B$5,IF(ISNUMBER(Settings!$B$12),Settings!$B$12,0))*(1+IF(Settings!$B$11="Y",0,Settings!$B$10/100))+N(Settings!$B$9)</f>
        <v/>
      </c>
      <c r="S66" s="4">
        <f>IF(Q66&gt;1000,"beyond table",IFERROR(LOOKUP(Q66,'FOIS 145A'!$A$2:$A$22,'FOIS 145A'!$C$2:$C$22),""))</f>
        <v/>
      </c>
      <c r="T66" s="4">
        <f>IF(ISNUMBER(S66),S66*(1+IF(Settings!$B$11="Y",0,Settings!$B$10/100))+2*N(Settings!$B$9),"")</f>
        <v/>
      </c>
      <c r="U66">
        <f>IF(ISNUMBER(T66),IF(T66&lt;R66,"Rail","Road"),"")</f>
        <v/>
      </c>
      <c r="V66" s="4">
        <f>IF(ISNUMBER(T66),ABS(R66-T66),"")</f>
        <v/>
      </c>
      <c r="W66">
        <f>IF(OR(ISNUMBER(SEARCH("siding",D66)),ISNUMBER(SEARCH("rcr",D66)),ISNUMBER(SEARCH("rail",D66)),ISNUMBER(SEARCH("wagon",D66))),"Yes - siding/rail in title","Check")</f>
        <v/>
      </c>
      <c r="X66">
        <f>Settings!$B$6</f>
        <v/>
      </c>
    </row>
    <row r="67">
      <c r="A67" t="inlineStr">
        <is>
          <t>B 150-300 km</t>
        </is>
      </c>
      <c r="B67" t="inlineStr">
        <is>
          <t>18314233</t>
        </is>
      </c>
      <c r="C67" t="inlineStr">
        <is>
          <t>2026_NTPC_112050_1</t>
        </is>
      </c>
      <c r="D67" t="inlineStr">
        <is>
          <t>loading and transportation of 150000 mt coal from ukni deep mine of wcl</t>
        </is>
      </c>
      <c r="E67" t="inlineStr">
        <is>
          <t>Coal transport (road)</t>
        </is>
      </c>
      <c r="F67" t="inlineStr">
        <is>
          <t>National Thermal Power Corporation Limited</t>
        </is>
      </c>
      <c r="G67" t="inlineStr">
        <is>
          <t>Chhattisgarh</t>
        </is>
      </c>
      <c r="H67" t="inlineStr">
        <is>
          <t>Raipur</t>
        </is>
      </c>
      <c r="I67" t="inlineStr">
        <is>
          <t>2026-09-25</t>
        </is>
      </c>
      <c r="J67" t="inlineStr">
        <is>
          <t>AOC</t>
        </is>
      </c>
      <c r="K67" t="inlineStr">
        <is>
          <t>Bharat Road Carrier Private Limited</t>
        </is>
      </c>
      <c r="L67" t="inlineStr">
        <is>
          <t>Bharat Road Carrier, Godavari Commodities</t>
        </is>
      </c>
      <c r="M67" t="inlineStr">
        <is>
          <t>5 named / 17</t>
        </is>
      </c>
      <c r="N67" t="n">
        <v>0.63</v>
      </c>
      <c r="O67" t="n">
        <v>197</v>
      </c>
      <c r="P67">
        <f>MAX(O67,Settings!$B$13)*Settings!$B$7</f>
        <v/>
      </c>
      <c r="Q67">
        <f>MAX(O67,Settings!$B$13)*Settings!$B$8</f>
        <v/>
      </c>
      <c r="R67" s="4">
        <f>MAX(P67*Settings!$B$5,IF(ISNUMBER(Settings!$B$12),Settings!$B$12,0))*(1+IF(Settings!$B$11="Y",0,Settings!$B$10/100))+N(Settings!$B$9)</f>
        <v/>
      </c>
      <c r="S67" s="4">
        <f>IF(Q67&gt;1000,"beyond table",IFERROR(LOOKUP(Q67,'FOIS 145A'!$A$2:$A$22,'FOIS 145A'!$C$2:$C$22),""))</f>
        <v/>
      </c>
      <c r="T67" s="4">
        <f>IF(ISNUMBER(S67),S67*(1+IF(Settings!$B$11="Y",0,Settings!$B$10/100))+2*N(Settings!$B$9),"")</f>
        <v/>
      </c>
      <c r="U67">
        <f>IF(ISNUMBER(T67),IF(T67&lt;R67,"Rail","Road"),"")</f>
        <v/>
      </c>
      <c r="V67" s="4">
        <f>IF(ISNUMBER(T67),ABS(R67-T67),"")</f>
        <v/>
      </c>
      <c r="W67">
        <f>IF(OR(ISNUMBER(SEARCH("siding",D67)),ISNUMBER(SEARCH("rcr",D67)),ISNUMBER(SEARCH("rail",D67)),ISNUMBER(SEARCH("wagon",D67))),"Yes - siding/rail in title","Check")</f>
        <v/>
      </c>
      <c r="X67">
        <f>Settings!$B$6</f>
        <v/>
      </c>
    </row>
    <row r="68">
      <c r="A68" t="inlineStr">
        <is>
          <t>B 150-300 km</t>
        </is>
      </c>
      <c r="B68" t="inlineStr">
        <is>
          <t>18263044</t>
        </is>
      </c>
      <c r="C68" t="inlineStr">
        <is>
          <t>2026_NTPC_109393_1</t>
        </is>
      </c>
      <c r="D68" t="inlineStr">
        <is>
          <t>transportation of coal from nk and ashoka mines area</t>
        </is>
      </c>
      <c r="E68" t="inlineStr">
        <is>
          <t>Coal transport (road)</t>
        </is>
      </c>
      <c r="F68" t="inlineStr">
        <is>
          <t>National Thermal Power Corporation Limited</t>
        </is>
      </c>
      <c r="G68" t="inlineStr">
        <is>
          <t>Chhattisgarh</t>
        </is>
      </c>
      <c r="H68" t="inlineStr">
        <is>
          <t>Raipur</t>
        </is>
      </c>
      <c r="I68" t="inlineStr">
        <is>
          <t>2026-07-13</t>
        </is>
      </c>
      <c r="J68" t="inlineStr">
        <is>
          <t>Financial</t>
        </is>
      </c>
      <c r="K68" t="inlineStr">
        <is>
          <t>-</t>
        </is>
      </c>
      <c r="L68" t="inlineStr">
        <is>
          <t>Nkas Services</t>
        </is>
      </c>
      <c r="M68" t="inlineStr">
        <is>
          <t>5 named / 7</t>
        </is>
      </c>
      <c r="O68" t="n">
        <v>197</v>
      </c>
      <c r="P68">
        <f>MAX(O68,Settings!$B$13)*Settings!$B$7</f>
        <v/>
      </c>
      <c r="Q68">
        <f>MAX(O68,Settings!$B$13)*Settings!$B$8</f>
        <v/>
      </c>
      <c r="R68" s="4">
        <f>MAX(P68*Settings!$B$5,IF(ISNUMBER(Settings!$B$12),Settings!$B$12,0))*(1+IF(Settings!$B$11="Y",0,Settings!$B$10/100))+N(Settings!$B$9)</f>
        <v/>
      </c>
      <c r="S68" s="4">
        <f>IF(Q68&gt;1000,"beyond table",IFERROR(LOOKUP(Q68,'FOIS 145A'!$A$2:$A$22,'FOIS 145A'!$C$2:$C$22),""))</f>
        <v/>
      </c>
      <c r="T68" s="4">
        <f>IF(ISNUMBER(S68),S68*(1+IF(Settings!$B$11="Y",0,Settings!$B$10/100))+2*N(Settings!$B$9),"")</f>
        <v/>
      </c>
      <c r="U68">
        <f>IF(ISNUMBER(T68),IF(T68&lt;R68,"Rail","Road"),"")</f>
        <v/>
      </c>
      <c r="V68" s="4">
        <f>IF(ISNUMBER(T68),ABS(R68-T68),"")</f>
        <v/>
      </c>
      <c r="W68">
        <f>IF(OR(ISNUMBER(SEARCH("siding",D68)),ISNUMBER(SEARCH("rcr",D68)),ISNUMBER(SEARCH("rail",D68)),ISNUMBER(SEARCH("wagon",D68))),"Yes - siding/rail in title","Check")</f>
        <v/>
      </c>
      <c r="X68">
        <f>Settings!$B$6</f>
        <v/>
      </c>
    </row>
    <row r="69">
      <c r="A69" t="inlineStr">
        <is>
          <t>B 150-300 km</t>
        </is>
      </c>
      <c r="B69" t="inlineStr">
        <is>
          <t>17705945</t>
        </is>
      </c>
      <c r="C69" t="inlineStr">
        <is>
          <t>2026_NTPC_107428_1</t>
        </is>
      </c>
      <c r="D69" t="inlineStr">
        <is>
          <t>coal transportation from pakri mines to nkstpp</t>
        </is>
      </c>
      <c r="E69" t="inlineStr">
        <is>
          <t>Coal transport (road)</t>
        </is>
      </c>
      <c r="F69" t="inlineStr">
        <is>
          <t>National Thermal Power Corporation Limited</t>
        </is>
      </c>
      <c r="G69" t="inlineStr">
        <is>
          <t>Chhattisgarh</t>
        </is>
      </c>
      <c r="H69" t="inlineStr">
        <is>
          <t>Raipur</t>
        </is>
      </c>
      <c r="I69" t="inlineStr">
        <is>
          <t>2026-05-19</t>
        </is>
      </c>
      <c r="J69" t="inlineStr">
        <is>
          <t>AOC</t>
        </is>
      </c>
      <c r="K69" t="inlineStr">
        <is>
          <t>Godavari Commodities Limited</t>
        </is>
      </c>
      <c r="L69" t="inlineStr">
        <is>
          <t>Godavari Commodities, Nkas Services</t>
        </is>
      </c>
      <c r="M69" t="inlineStr">
        <is>
          <t>5 named / 8</t>
        </is>
      </c>
      <c r="N69" t="n">
        <v>29.24</v>
      </c>
      <c r="O69" t="n">
        <v>197</v>
      </c>
      <c r="P69">
        <f>MAX(O69,Settings!$B$13)*Settings!$B$7</f>
        <v/>
      </c>
      <c r="Q69">
        <f>MAX(O69,Settings!$B$13)*Settings!$B$8</f>
        <v/>
      </c>
      <c r="R69" s="4">
        <f>MAX(P69*Settings!$B$5,IF(ISNUMBER(Settings!$B$12),Settings!$B$12,0))*(1+IF(Settings!$B$11="Y",0,Settings!$B$10/100))+N(Settings!$B$9)</f>
        <v/>
      </c>
      <c r="S69" s="4">
        <f>IF(Q69&gt;1000,"beyond table",IFERROR(LOOKUP(Q69,'FOIS 145A'!$A$2:$A$22,'FOIS 145A'!$C$2:$C$22),""))</f>
        <v/>
      </c>
      <c r="T69" s="4">
        <f>IF(ISNUMBER(S69),S69*(1+IF(Settings!$B$11="Y",0,Settings!$B$10/100))+2*N(Settings!$B$9),"")</f>
        <v/>
      </c>
      <c r="U69">
        <f>IF(ISNUMBER(T69),IF(T69&lt;R69,"Rail","Road"),"")</f>
        <v/>
      </c>
      <c r="V69" s="4">
        <f>IF(ISNUMBER(T69),ABS(R69-T69),"")</f>
        <v/>
      </c>
      <c r="W69">
        <f>IF(OR(ISNUMBER(SEARCH("siding",D69)),ISNUMBER(SEARCH("rcr",D69)),ISNUMBER(SEARCH("rail",D69)),ISNUMBER(SEARCH("wagon",D69))),"Yes - siding/rail in title","Check")</f>
        <v/>
      </c>
      <c r="X69">
        <f>Settings!$B$6</f>
        <v/>
      </c>
    </row>
    <row r="70">
      <c r="A70" t="inlineStr">
        <is>
          <t>B 150-300 km</t>
        </is>
      </c>
      <c r="B70" t="inlineStr">
        <is>
          <t>16860254</t>
        </is>
      </c>
      <c r="C70" t="inlineStr">
        <is>
          <t>2026_NTPC_105758_1</t>
        </is>
      </c>
      <c r="D70" t="inlineStr">
        <is>
          <t>transportation of 12 lmt coal under rsr mode from mcl mines to kudgi - as per sow</t>
        </is>
      </c>
      <c r="E70" t="inlineStr">
        <is>
          <t>Coal transport (road)</t>
        </is>
      </c>
      <c r="F70" t="inlineStr">
        <is>
          <t>National Thermal Power Corporation Limited</t>
        </is>
      </c>
      <c r="G70" t="inlineStr">
        <is>
          <t>Chhattisgarh</t>
        </is>
      </c>
      <c r="H70" t="inlineStr">
        <is>
          <t>Raipur</t>
        </is>
      </c>
      <c r="I70" t="inlineStr">
        <is>
          <t>2026-03-25</t>
        </is>
      </c>
      <c r="J70" t="inlineStr">
        <is>
          <t>Financial</t>
        </is>
      </c>
      <c r="K70" t="inlineStr">
        <is>
          <t>-</t>
        </is>
      </c>
      <c r="L70" t="inlineStr">
        <is>
          <t>Mohit Minerals</t>
        </is>
      </c>
      <c r="M70" t="inlineStr">
        <is>
          <t>5 named / 5</t>
        </is>
      </c>
      <c r="O70" t="n">
        <v>197</v>
      </c>
      <c r="P70">
        <f>MAX(O70,Settings!$B$13)*Settings!$B$7</f>
        <v/>
      </c>
      <c r="Q70">
        <f>MAX(O70,Settings!$B$13)*Settings!$B$8</f>
        <v/>
      </c>
      <c r="R70" s="4">
        <f>MAX(P70*Settings!$B$5,IF(ISNUMBER(Settings!$B$12),Settings!$B$12,0))*(1+IF(Settings!$B$11="Y",0,Settings!$B$10/100))+N(Settings!$B$9)</f>
        <v/>
      </c>
      <c r="S70" s="4">
        <f>IF(Q70&gt;1000,"beyond table",IFERROR(LOOKUP(Q70,'FOIS 145A'!$A$2:$A$22,'FOIS 145A'!$C$2:$C$22),""))</f>
        <v/>
      </c>
      <c r="T70" s="4">
        <f>IF(ISNUMBER(S70),S70*(1+IF(Settings!$B$11="Y",0,Settings!$B$10/100))+2*N(Settings!$B$9),"")</f>
        <v/>
      </c>
      <c r="U70">
        <f>IF(ISNUMBER(T70),IF(T70&lt;R70,"Rail","Road"),"")</f>
        <v/>
      </c>
      <c r="V70" s="4">
        <f>IF(ISNUMBER(T70),ABS(R70-T70),"")</f>
        <v/>
      </c>
      <c r="W70">
        <f>IF(OR(ISNUMBER(SEARCH("siding",D70)),ISNUMBER(SEARCH("rcr",D70)),ISNUMBER(SEARCH("rail",D70)),ISNUMBER(SEARCH("wagon",D70))),"Yes - siding/rail in title","Check")</f>
        <v/>
      </c>
      <c r="X70">
        <f>Settings!$B$6</f>
        <v/>
      </c>
    </row>
    <row r="71">
      <c r="A71" t="inlineStr">
        <is>
          <t>B 150-300 km</t>
        </is>
      </c>
      <c r="B71" t="inlineStr">
        <is>
          <t>16104399</t>
        </is>
      </c>
      <c r="C71" t="inlineStr">
        <is>
          <t>2025_NTPC_103221_1</t>
        </is>
      </c>
      <c r="D71" t="inlineStr">
        <is>
          <t>mechanised loading of coal from ntpc tanda st-i coal yard and transportation to ntpc tanda st-ii coal yard.</t>
        </is>
      </c>
      <c r="E71" t="inlineStr">
        <is>
          <t>Coal transport (road)</t>
        </is>
      </c>
      <c r="F71" t="inlineStr">
        <is>
          <t>National Thermal Power Corporation Limited</t>
        </is>
      </c>
      <c r="G71" t="inlineStr">
        <is>
          <t>Chhattisgarh</t>
        </is>
      </c>
      <c r="H71" t="inlineStr">
        <is>
          <t>Raipur</t>
        </is>
      </c>
      <c r="I71" t="inlineStr">
        <is>
          <t>2026-01-07</t>
        </is>
      </c>
      <c r="J71" t="inlineStr">
        <is>
          <t>AOC</t>
        </is>
      </c>
      <c r="K71" t="inlineStr">
        <is>
          <t>Sangita Sales Private Limited</t>
        </is>
      </c>
      <c r="L71" t="inlineStr">
        <is>
          <t>Sangita Sales</t>
        </is>
      </c>
      <c r="M71" t="inlineStr">
        <is>
          <t>3 named / 3</t>
        </is>
      </c>
      <c r="N71" t="n">
        <v>1.16</v>
      </c>
      <c r="O71" t="n">
        <v>197</v>
      </c>
      <c r="P71">
        <f>MAX(O71,Settings!$B$13)*Settings!$B$7</f>
        <v/>
      </c>
      <c r="Q71">
        <f>MAX(O71,Settings!$B$13)*Settings!$B$8</f>
        <v/>
      </c>
      <c r="R71" s="4">
        <f>MAX(P71*Settings!$B$5,IF(ISNUMBER(Settings!$B$12),Settings!$B$12,0))*(1+IF(Settings!$B$11="Y",0,Settings!$B$10/100))+N(Settings!$B$9)</f>
        <v/>
      </c>
      <c r="S71" s="4">
        <f>IF(Q71&gt;1000,"beyond table",IFERROR(LOOKUP(Q71,'FOIS 145A'!$A$2:$A$22,'FOIS 145A'!$C$2:$C$22),""))</f>
        <v/>
      </c>
      <c r="T71" s="4">
        <f>IF(ISNUMBER(S71),S71*(1+IF(Settings!$B$11="Y",0,Settings!$B$10/100))+2*N(Settings!$B$9),"")</f>
        <v/>
      </c>
      <c r="U71">
        <f>IF(ISNUMBER(T71),IF(T71&lt;R71,"Rail","Road"),"")</f>
        <v/>
      </c>
      <c r="V71" s="4">
        <f>IF(ISNUMBER(T71),ABS(R71-T71),"")</f>
        <v/>
      </c>
      <c r="W71">
        <f>IF(OR(ISNUMBER(SEARCH("siding",D71)),ISNUMBER(SEARCH("rcr",D71)),ISNUMBER(SEARCH("rail",D71)),ISNUMBER(SEARCH("wagon",D71))),"Yes - siding/rail in title","Check")</f>
        <v/>
      </c>
      <c r="X71">
        <f>Settings!$B$6</f>
        <v/>
      </c>
    </row>
    <row r="72">
      <c r="A72" t="inlineStr">
        <is>
          <t>B 150-300 km</t>
        </is>
      </c>
      <c r="B72" t="inlineStr">
        <is>
          <t>15894703</t>
        </is>
      </c>
      <c r="C72" t="inlineStr">
        <is>
          <t>2025_NTPC_102408_1</t>
        </is>
      </c>
      <c r="D72" t="inlineStr">
        <is>
          <t>as per sow- transportation of coal by road from magadh mine to ntpc-north karanpura</t>
        </is>
      </c>
      <c r="E72" t="inlineStr">
        <is>
          <t>Coal transport (road)</t>
        </is>
      </c>
      <c r="F72" t="inlineStr">
        <is>
          <t>National Thermal Power Corporation Limited</t>
        </is>
      </c>
      <c r="G72" t="inlineStr">
        <is>
          <t>Chhattisgarh</t>
        </is>
      </c>
      <c r="H72" t="inlineStr">
        <is>
          <t>Raipur</t>
        </is>
      </c>
      <c r="I72" t="inlineStr">
        <is>
          <t>2025-12-17</t>
        </is>
      </c>
      <c r="J72" t="inlineStr">
        <is>
          <t>Financial</t>
        </is>
      </c>
      <c r="K72" t="inlineStr">
        <is>
          <t>-</t>
        </is>
      </c>
      <c r="L72" t="inlineStr">
        <is>
          <t>Nkas Services, Orissa Stevedores</t>
        </is>
      </c>
      <c r="M72" t="inlineStr">
        <is>
          <t>5 named / 7</t>
        </is>
      </c>
      <c r="O72" t="n">
        <v>197</v>
      </c>
      <c r="P72">
        <f>MAX(O72,Settings!$B$13)*Settings!$B$7</f>
        <v/>
      </c>
      <c r="Q72">
        <f>MAX(O72,Settings!$B$13)*Settings!$B$8</f>
        <v/>
      </c>
      <c r="R72" s="4">
        <f>MAX(P72*Settings!$B$5,IF(ISNUMBER(Settings!$B$12),Settings!$B$12,0))*(1+IF(Settings!$B$11="Y",0,Settings!$B$10/100))+N(Settings!$B$9)</f>
        <v/>
      </c>
      <c r="S72" s="4">
        <f>IF(Q72&gt;1000,"beyond table",IFERROR(LOOKUP(Q72,'FOIS 145A'!$A$2:$A$22,'FOIS 145A'!$C$2:$C$22),""))</f>
        <v/>
      </c>
      <c r="T72" s="4">
        <f>IF(ISNUMBER(S72),S72*(1+IF(Settings!$B$11="Y",0,Settings!$B$10/100))+2*N(Settings!$B$9),"")</f>
        <v/>
      </c>
      <c r="U72">
        <f>IF(ISNUMBER(T72),IF(T72&lt;R72,"Rail","Road"),"")</f>
        <v/>
      </c>
      <c r="V72" s="4">
        <f>IF(ISNUMBER(T72),ABS(R72-T72),"")</f>
        <v/>
      </c>
      <c r="W72">
        <f>IF(OR(ISNUMBER(SEARCH("siding",D72)),ISNUMBER(SEARCH("rcr",D72)),ISNUMBER(SEARCH("rail",D72)),ISNUMBER(SEARCH("wagon",D72))),"Yes - siding/rail in title","Check")</f>
        <v/>
      </c>
      <c r="X72">
        <f>Settings!$B$6</f>
        <v/>
      </c>
    </row>
    <row r="73">
      <c r="A73" t="inlineStr">
        <is>
          <t>B 150-300 km</t>
        </is>
      </c>
      <c r="B73" t="inlineStr">
        <is>
          <t>16303115</t>
        </is>
      </c>
      <c r="C73" t="inlineStr">
        <is>
          <t>2025_NTPC_102088_1</t>
        </is>
      </c>
      <c r="D73" t="inlineStr">
        <is>
          <t>transportation of coal from amrapali and other mines to ntpc-nkstpp</t>
        </is>
      </c>
      <c r="E73" t="inlineStr">
        <is>
          <t>Coal transport (road)</t>
        </is>
      </c>
      <c r="F73" t="inlineStr">
        <is>
          <t>National Thermal Power Corporation Limited</t>
        </is>
      </c>
      <c r="G73" t="inlineStr">
        <is>
          <t>Chhattisgarh</t>
        </is>
      </c>
      <c r="H73" t="inlineStr">
        <is>
          <t>Raipur</t>
        </is>
      </c>
      <c r="I73" t="inlineStr">
        <is>
          <t>2025-12-09</t>
        </is>
      </c>
      <c r="J73" t="inlineStr">
        <is>
          <t>Financial</t>
        </is>
      </c>
      <c r="K73" t="inlineStr">
        <is>
          <t>-</t>
        </is>
      </c>
      <c r="L73" t="inlineStr">
        <is>
          <t>United Coal Carriers, Nkas Services, Orissa Stevedores</t>
        </is>
      </c>
      <c r="M73" t="inlineStr">
        <is>
          <t>5 named / 6</t>
        </is>
      </c>
      <c r="O73" t="n">
        <v>197</v>
      </c>
      <c r="P73">
        <f>MAX(O73,Settings!$B$13)*Settings!$B$7</f>
        <v/>
      </c>
      <c r="Q73">
        <f>MAX(O73,Settings!$B$13)*Settings!$B$8</f>
        <v/>
      </c>
      <c r="R73" s="4">
        <f>MAX(P73*Settings!$B$5,IF(ISNUMBER(Settings!$B$12),Settings!$B$12,0))*(1+IF(Settings!$B$11="Y",0,Settings!$B$10/100))+N(Settings!$B$9)</f>
        <v/>
      </c>
      <c r="S73" s="4">
        <f>IF(Q73&gt;1000,"beyond table",IFERROR(LOOKUP(Q73,'FOIS 145A'!$A$2:$A$22,'FOIS 145A'!$C$2:$C$22),""))</f>
        <v/>
      </c>
      <c r="T73" s="4">
        <f>IF(ISNUMBER(S73),S73*(1+IF(Settings!$B$11="Y",0,Settings!$B$10/100))+2*N(Settings!$B$9),"")</f>
        <v/>
      </c>
      <c r="U73">
        <f>IF(ISNUMBER(T73),IF(T73&lt;R73,"Rail","Road"),"")</f>
        <v/>
      </c>
      <c r="V73" s="4">
        <f>IF(ISNUMBER(T73),ABS(R73-T73),"")</f>
        <v/>
      </c>
      <c r="W73">
        <f>IF(OR(ISNUMBER(SEARCH("siding",D73)),ISNUMBER(SEARCH("rcr",D73)),ISNUMBER(SEARCH("rail",D73)),ISNUMBER(SEARCH("wagon",D73))),"Yes - siding/rail in title","Check")</f>
        <v/>
      </c>
      <c r="X73">
        <f>Settings!$B$6</f>
        <v/>
      </c>
    </row>
    <row r="74">
      <c r="A74" t="inlineStr">
        <is>
          <t>B 150-300 km</t>
        </is>
      </c>
      <c r="B74" t="inlineStr">
        <is>
          <t>15397670</t>
        </is>
      </c>
      <c r="C74" t="inlineStr">
        <is>
          <t>2025_NTPC_100971_1</t>
        </is>
      </c>
      <c r="D74" t="inlineStr">
        <is>
          <t>coal transportation from ntpc pakri mines to nkstpp</t>
        </is>
      </c>
      <c r="E74" t="inlineStr">
        <is>
          <t>Coal transport (road)</t>
        </is>
      </c>
      <c r="F74" t="inlineStr">
        <is>
          <t>National Thermal Power Corporation Limited</t>
        </is>
      </c>
      <c r="G74" t="inlineStr">
        <is>
          <t>Chhattisgarh</t>
        </is>
      </c>
      <c r="H74" t="inlineStr">
        <is>
          <t>Raipur</t>
        </is>
      </c>
      <c r="I74" t="inlineStr">
        <is>
          <t>2025-10-16</t>
        </is>
      </c>
      <c r="J74" t="inlineStr">
        <is>
          <t>AOC</t>
        </is>
      </c>
      <c r="K74" t="inlineStr">
        <is>
          <t>Ravindra Enterprises</t>
        </is>
      </c>
      <c r="L74" t="inlineStr"/>
      <c r="M74" t="inlineStr">
        <is>
          <t>5 named / 11</t>
        </is>
      </c>
      <c r="N74" t="n">
        <v>20.88</v>
      </c>
      <c r="O74" t="n">
        <v>197</v>
      </c>
      <c r="P74">
        <f>MAX(O74,Settings!$B$13)*Settings!$B$7</f>
        <v/>
      </c>
      <c r="Q74">
        <f>MAX(O74,Settings!$B$13)*Settings!$B$8</f>
        <v/>
      </c>
      <c r="R74" s="4">
        <f>MAX(P74*Settings!$B$5,IF(ISNUMBER(Settings!$B$12),Settings!$B$12,0))*(1+IF(Settings!$B$11="Y",0,Settings!$B$10/100))+N(Settings!$B$9)</f>
        <v/>
      </c>
      <c r="S74" s="4">
        <f>IF(Q74&gt;1000,"beyond table",IFERROR(LOOKUP(Q74,'FOIS 145A'!$A$2:$A$22,'FOIS 145A'!$C$2:$C$22),""))</f>
        <v/>
      </c>
      <c r="T74" s="4">
        <f>IF(ISNUMBER(S74),S74*(1+IF(Settings!$B$11="Y",0,Settings!$B$10/100))+2*N(Settings!$B$9),"")</f>
        <v/>
      </c>
      <c r="U74">
        <f>IF(ISNUMBER(T74),IF(T74&lt;R74,"Rail","Road"),"")</f>
        <v/>
      </c>
      <c r="V74" s="4">
        <f>IF(ISNUMBER(T74),ABS(R74-T74),"")</f>
        <v/>
      </c>
      <c r="W74">
        <f>IF(OR(ISNUMBER(SEARCH("siding",D74)),ISNUMBER(SEARCH("rcr",D74)),ISNUMBER(SEARCH("rail",D74)),ISNUMBER(SEARCH("wagon",D74))),"Yes - siding/rail in title","Check")</f>
        <v/>
      </c>
      <c r="X74">
        <f>Settings!$B$6</f>
        <v/>
      </c>
    </row>
    <row r="75">
      <c r="A75" t="inlineStr">
        <is>
          <t>B 150-300 km</t>
        </is>
      </c>
      <c r="B75" t="inlineStr">
        <is>
          <t>15610707</t>
        </is>
      </c>
      <c r="C75" t="inlineStr">
        <is>
          <t>2025_NTPC_100106_1</t>
        </is>
      </c>
      <c r="D75" t="inlineStr">
        <is>
          <t>transportation of coal from magadh mines of ccl to ntpc north karanpura</t>
        </is>
      </c>
      <c r="E75" t="inlineStr">
        <is>
          <t>Coal transport (road)</t>
        </is>
      </c>
      <c r="F75" t="inlineStr">
        <is>
          <t>National Thermal Power Corporation Limited</t>
        </is>
      </c>
      <c r="G75" t="inlineStr">
        <is>
          <t>Chhattisgarh</t>
        </is>
      </c>
      <c r="H75" t="inlineStr">
        <is>
          <t>Raipur</t>
        </is>
      </c>
      <c r="I75" t="inlineStr">
        <is>
          <t>2025-10-06</t>
        </is>
      </c>
      <c r="J75" t="inlineStr">
        <is>
          <t>AOC</t>
        </is>
      </c>
      <c r="K75" t="inlineStr">
        <is>
          <t>Variant Commercial Private Limited</t>
        </is>
      </c>
      <c r="L75" t="inlineStr">
        <is>
          <t>United Coal Carriers, Nkas Services, Orissa Stevedores</t>
        </is>
      </c>
      <c r="M75" t="inlineStr">
        <is>
          <t>5 named / 9</t>
        </is>
      </c>
      <c r="N75" t="n">
        <v>50.54</v>
      </c>
      <c r="O75" t="n">
        <v>197</v>
      </c>
      <c r="P75">
        <f>MAX(O75,Settings!$B$13)*Settings!$B$7</f>
        <v/>
      </c>
      <c r="Q75">
        <f>MAX(O75,Settings!$B$13)*Settings!$B$8</f>
        <v/>
      </c>
      <c r="R75" s="4">
        <f>MAX(P75*Settings!$B$5,IF(ISNUMBER(Settings!$B$12),Settings!$B$12,0))*(1+IF(Settings!$B$11="Y",0,Settings!$B$10/100))+N(Settings!$B$9)</f>
        <v/>
      </c>
      <c r="S75" s="4">
        <f>IF(Q75&gt;1000,"beyond table",IFERROR(LOOKUP(Q75,'FOIS 145A'!$A$2:$A$22,'FOIS 145A'!$C$2:$C$22),""))</f>
        <v/>
      </c>
      <c r="T75" s="4">
        <f>IF(ISNUMBER(S75),S75*(1+IF(Settings!$B$11="Y",0,Settings!$B$10/100))+2*N(Settings!$B$9),"")</f>
        <v/>
      </c>
      <c r="U75">
        <f>IF(ISNUMBER(T75),IF(T75&lt;R75,"Rail","Road"),"")</f>
        <v/>
      </c>
      <c r="V75" s="4">
        <f>IF(ISNUMBER(T75),ABS(R75-T75),"")</f>
        <v/>
      </c>
      <c r="W75">
        <f>IF(OR(ISNUMBER(SEARCH("siding",D75)),ISNUMBER(SEARCH("rcr",D75)),ISNUMBER(SEARCH("rail",D75)),ISNUMBER(SEARCH("wagon",D75))),"Yes - siding/rail in title","Check")</f>
        <v/>
      </c>
      <c r="X75">
        <f>Settings!$B$6</f>
        <v/>
      </c>
    </row>
    <row r="76">
      <c r="A76" t="inlineStr">
        <is>
          <t>B 150-300 km</t>
        </is>
      </c>
      <c r="B76" t="inlineStr">
        <is>
          <t>15019055</t>
        </is>
      </c>
      <c r="C76" t="inlineStr">
        <is>
          <t>2025_NTPC_100168_1</t>
        </is>
      </c>
      <c r="D76" t="inlineStr">
        <is>
          <t>transportation of coal from nk area and ashoka mines of ccl to ntpc</t>
        </is>
      </c>
      <c r="E76" t="inlineStr">
        <is>
          <t>Coal transport (road)</t>
        </is>
      </c>
      <c r="F76" t="inlineStr">
        <is>
          <t>National Thermal Power Corporation Limited</t>
        </is>
      </c>
      <c r="G76" t="inlineStr">
        <is>
          <t>Chhattisgarh</t>
        </is>
      </c>
      <c r="H76" t="inlineStr">
        <is>
          <t>Raipur</t>
        </is>
      </c>
      <c r="I76" t="inlineStr">
        <is>
          <t>2025-09-19</t>
        </is>
      </c>
      <c r="J76" t="inlineStr">
        <is>
          <t>AOC</t>
        </is>
      </c>
      <c r="K76" t="inlineStr">
        <is>
          <t>Jagshobha Logistics Llp</t>
        </is>
      </c>
      <c r="L76" t="inlineStr">
        <is>
          <t>Nkas Services</t>
        </is>
      </c>
      <c r="M76" t="inlineStr">
        <is>
          <t>5 named / 6</t>
        </is>
      </c>
      <c r="N76" t="n">
        <v>13.91</v>
      </c>
      <c r="O76" t="n">
        <v>197</v>
      </c>
      <c r="P76">
        <f>MAX(O76,Settings!$B$13)*Settings!$B$7</f>
        <v/>
      </c>
      <c r="Q76">
        <f>MAX(O76,Settings!$B$13)*Settings!$B$8</f>
        <v/>
      </c>
      <c r="R76" s="4">
        <f>MAX(P76*Settings!$B$5,IF(ISNUMBER(Settings!$B$12),Settings!$B$12,0))*(1+IF(Settings!$B$11="Y",0,Settings!$B$10/100))+N(Settings!$B$9)</f>
        <v/>
      </c>
      <c r="S76" s="4">
        <f>IF(Q76&gt;1000,"beyond table",IFERROR(LOOKUP(Q76,'FOIS 145A'!$A$2:$A$22,'FOIS 145A'!$C$2:$C$22),""))</f>
        <v/>
      </c>
      <c r="T76" s="4">
        <f>IF(ISNUMBER(S76),S76*(1+IF(Settings!$B$11="Y",0,Settings!$B$10/100))+2*N(Settings!$B$9),"")</f>
        <v/>
      </c>
      <c r="U76">
        <f>IF(ISNUMBER(T76),IF(T76&lt;R76,"Rail","Road"),"")</f>
        <v/>
      </c>
      <c r="V76" s="4">
        <f>IF(ISNUMBER(T76),ABS(R76-T76),"")</f>
        <v/>
      </c>
      <c r="W76">
        <f>IF(OR(ISNUMBER(SEARCH("siding",D76)),ISNUMBER(SEARCH("rcr",D76)),ISNUMBER(SEARCH("rail",D76)),ISNUMBER(SEARCH("wagon",D76))),"Yes - siding/rail in title","Check")</f>
        <v/>
      </c>
      <c r="X76">
        <f>Settings!$B$6</f>
        <v/>
      </c>
    </row>
    <row r="77">
      <c r="A77" t="inlineStr">
        <is>
          <t>B 150-300 km</t>
        </is>
      </c>
      <c r="B77" t="inlineStr">
        <is>
          <t>13705244</t>
        </is>
      </c>
      <c r="C77" t="inlineStr">
        <is>
          <t>2025_NTPC_95616_1</t>
        </is>
      </c>
      <c r="D77" t="inlineStr">
        <is>
          <t>transportation of 9 lmt coal under rsr mode from mcl mines to kudgi</t>
        </is>
      </c>
      <c r="E77" t="inlineStr">
        <is>
          <t>Coal transport (road)</t>
        </is>
      </c>
      <c r="F77" t="inlineStr">
        <is>
          <t>National Thermal Power Corporation Limited</t>
        </is>
      </c>
      <c r="G77" t="inlineStr">
        <is>
          <t>Chhattisgarh</t>
        </is>
      </c>
      <c r="H77" t="inlineStr">
        <is>
          <t>Raipur</t>
        </is>
      </c>
      <c r="I77" t="inlineStr">
        <is>
          <t>2025-05-01</t>
        </is>
      </c>
      <c r="J77" t="inlineStr">
        <is>
          <t>AOC</t>
        </is>
      </c>
      <c r="K77" t="inlineStr">
        <is>
          <t>Adani Enterprises Limited</t>
        </is>
      </c>
      <c r="L77" t="inlineStr"/>
      <c r="M77" t="inlineStr">
        <is>
          <t>4 named / 4</t>
        </is>
      </c>
      <c r="N77" t="n">
        <v>187.65</v>
      </c>
      <c r="O77" t="n">
        <v>197</v>
      </c>
      <c r="P77">
        <f>MAX(O77,Settings!$B$13)*Settings!$B$7</f>
        <v/>
      </c>
      <c r="Q77">
        <f>MAX(O77,Settings!$B$13)*Settings!$B$8</f>
        <v/>
      </c>
      <c r="R77" s="4">
        <f>MAX(P77*Settings!$B$5,IF(ISNUMBER(Settings!$B$12),Settings!$B$12,0))*(1+IF(Settings!$B$11="Y",0,Settings!$B$10/100))+N(Settings!$B$9)</f>
        <v/>
      </c>
      <c r="S77" s="4">
        <f>IF(Q77&gt;1000,"beyond table",IFERROR(LOOKUP(Q77,'FOIS 145A'!$A$2:$A$22,'FOIS 145A'!$C$2:$C$22),""))</f>
        <v/>
      </c>
      <c r="T77" s="4">
        <f>IF(ISNUMBER(S77),S77*(1+IF(Settings!$B$11="Y",0,Settings!$B$10/100))+2*N(Settings!$B$9),"")</f>
        <v/>
      </c>
      <c r="U77">
        <f>IF(ISNUMBER(T77),IF(T77&lt;R77,"Rail","Road"),"")</f>
        <v/>
      </c>
      <c r="V77" s="4">
        <f>IF(ISNUMBER(T77),ABS(R77-T77),"")</f>
        <v/>
      </c>
      <c r="W77">
        <f>IF(OR(ISNUMBER(SEARCH("siding",D77)),ISNUMBER(SEARCH("rcr",D77)),ISNUMBER(SEARCH("rail",D77)),ISNUMBER(SEARCH("wagon",D77))),"Yes - siding/rail in title","Check")</f>
        <v/>
      </c>
      <c r="X77">
        <f>Settings!$B$6</f>
        <v/>
      </c>
    </row>
    <row r="78">
      <c r="A78" t="inlineStr">
        <is>
          <t>B 150-300 km</t>
        </is>
      </c>
      <c r="B78" t="inlineStr">
        <is>
          <t>17648465</t>
        </is>
      </c>
      <c r="C78" t="inlineStr">
        <is>
          <t>GEM/2026/B/7395324</t>
        </is>
      </c>
      <c r="D78" t="inlineStr">
        <is>
          <t>loading and transportation of coal from stock yards of ananta ocp jagannath area to siding lmgti and lmgtii of lingraj area mcl</t>
        </is>
      </c>
      <c r="E78" t="inlineStr">
        <is>
          <t>Coal transport (RCR / siding)</t>
        </is>
      </c>
      <c r="F78" t="inlineStr">
        <is>
          <t>Mahanadi Coalfields Limited</t>
        </is>
      </c>
      <c r="G78" t="inlineStr">
        <is>
          <t>Orissa</t>
        </is>
      </c>
      <c r="H78" t="inlineStr">
        <is>
          <t>Angul</t>
        </is>
      </c>
      <c r="I78" t="inlineStr">
        <is>
          <t>2026-04-13</t>
        </is>
      </c>
      <c r="J78" t="inlineStr">
        <is>
          <t>Financial</t>
        </is>
      </c>
      <c r="K78" t="inlineStr">
        <is>
          <t>-</t>
        </is>
      </c>
      <c r="L78" t="inlineStr">
        <is>
          <t>Saikrupa Coal Supplier</t>
        </is>
      </c>
      <c r="M78" t="inlineStr">
        <is>
          <t>5 named / 8</t>
        </is>
      </c>
      <c r="O78" t="n">
        <v>212</v>
      </c>
      <c r="P78">
        <f>MAX(O78,Settings!$B$13)*Settings!$B$7</f>
        <v/>
      </c>
      <c r="Q78">
        <f>MAX(O78,Settings!$B$13)*Settings!$B$8</f>
        <v/>
      </c>
      <c r="R78" s="4">
        <f>MAX(P78*Settings!$B$5,IF(ISNUMBER(Settings!$B$12),Settings!$B$12,0))*(1+IF(Settings!$B$11="Y",0,Settings!$B$10/100))+N(Settings!$B$9)</f>
        <v/>
      </c>
      <c r="S78" s="4">
        <f>IF(Q78&gt;1000,"beyond table",IFERROR(LOOKUP(Q78,'FOIS 145A'!$A$2:$A$22,'FOIS 145A'!$C$2:$C$22),""))</f>
        <v/>
      </c>
      <c r="T78" s="4">
        <f>IF(ISNUMBER(S78),S78*(1+IF(Settings!$B$11="Y",0,Settings!$B$10/100))+2*N(Settings!$B$9),"")</f>
        <v/>
      </c>
      <c r="U78">
        <f>IF(ISNUMBER(T78),IF(T78&lt;R78,"Rail","Road"),"")</f>
        <v/>
      </c>
      <c r="V78" s="4">
        <f>IF(ISNUMBER(T78),ABS(R78-T78),"")</f>
        <v/>
      </c>
      <c r="W78">
        <f>IF(OR(ISNUMBER(SEARCH("siding",D78)),ISNUMBER(SEARCH("rcr",D78)),ISNUMBER(SEARCH("rail",D78)),ISNUMBER(SEARCH("wagon",D78))),"Yes - siding/rail in title","Check")</f>
        <v/>
      </c>
      <c r="X78">
        <f>Settings!$B$6</f>
        <v/>
      </c>
    </row>
    <row r="79">
      <c r="A79" t="inlineStr">
        <is>
          <t>B 150-300 km</t>
        </is>
      </c>
      <c r="B79" t="inlineStr">
        <is>
          <t>13711181</t>
        </is>
      </c>
      <c r="C79" t="inlineStr">
        <is>
          <t>GEM/2025/B/6166025</t>
        </is>
      </c>
      <c r="D79" t="inlineStr">
        <is>
          <t>transportation of coal by road from mcl, talcher coalfield to cpp, nalco, angul including handling of coal and other related services</t>
        </is>
      </c>
      <c r="E79" t="inlineStr">
        <is>
          <t>Coal transport (road)</t>
        </is>
      </c>
      <c r="F79" t="inlineStr">
        <is>
          <t>National Aluminium Company Limited</t>
        </is>
      </c>
      <c r="G79" t="inlineStr">
        <is>
          <t>Orissa</t>
        </is>
      </c>
      <c r="H79" t="inlineStr">
        <is>
          <t>Angul</t>
        </is>
      </c>
      <c r="I79" t="inlineStr">
        <is>
          <t>2025-05-26</t>
        </is>
      </c>
      <c r="J79" t="inlineStr">
        <is>
          <t>AOC</t>
        </is>
      </c>
      <c r="K79" t="inlineStr">
        <is>
          <t>Mukesh And Yogesh Roadlines</t>
        </is>
      </c>
      <c r="L79" t="inlineStr"/>
      <c r="M79" t="inlineStr">
        <is>
          <t>5 named / 10</t>
        </is>
      </c>
      <c r="N79" t="n">
        <v>30.4</v>
      </c>
      <c r="O79" t="n">
        <v>212</v>
      </c>
      <c r="P79">
        <f>MAX(O79,Settings!$B$13)*Settings!$B$7</f>
        <v/>
      </c>
      <c r="Q79">
        <f>MAX(O79,Settings!$B$13)*Settings!$B$8</f>
        <v/>
      </c>
      <c r="R79" s="4">
        <f>MAX(P79*Settings!$B$5,IF(ISNUMBER(Settings!$B$12),Settings!$B$12,0))*(1+IF(Settings!$B$11="Y",0,Settings!$B$10/100))+N(Settings!$B$9)</f>
        <v/>
      </c>
      <c r="S79" s="4">
        <f>IF(Q79&gt;1000,"beyond table",IFERROR(LOOKUP(Q79,'FOIS 145A'!$A$2:$A$22,'FOIS 145A'!$C$2:$C$22),""))</f>
        <v/>
      </c>
      <c r="T79" s="4">
        <f>IF(ISNUMBER(S79),S79*(1+IF(Settings!$B$11="Y",0,Settings!$B$10/100))+2*N(Settings!$B$9),"")</f>
        <v/>
      </c>
      <c r="U79">
        <f>IF(ISNUMBER(T79),IF(T79&lt;R79,"Rail","Road"),"")</f>
        <v/>
      </c>
      <c r="V79" s="4">
        <f>IF(ISNUMBER(T79),ABS(R79-T79),"")</f>
        <v/>
      </c>
      <c r="W79">
        <f>IF(OR(ISNUMBER(SEARCH("siding",D79)),ISNUMBER(SEARCH("rcr",D79)),ISNUMBER(SEARCH("rail",D79)),ISNUMBER(SEARCH("wagon",D79))),"Yes - siding/rail in title","Check")</f>
        <v/>
      </c>
      <c r="X79">
        <f>Settings!$B$6</f>
        <v/>
      </c>
    </row>
    <row r="80">
      <c r="A80" t="inlineStr">
        <is>
          <t>B 150-300 km</t>
        </is>
      </c>
      <c r="B80" t="inlineStr">
        <is>
          <t>13504719</t>
        </is>
      </c>
      <c r="C80" t="inlineStr">
        <is>
          <t>GEM/2025/B/6131875</t>
        </is>
      </c>
      <c r="D80" t="inlineStr">
        <is>
          <t>loading and transportation</t>
        </is>
      </c>
      <c r="E80" t="inlineStr">
        <is>
          <t>Coal transport (road)</t>
        </is>
      </c>
      <c r="F80" t="inlineStr">
        <is>
          <t>Mahanadi Coalfields Limited</t>
        </is>
      </c>
      <c r="G80" t="inlineStr">
        <is>
          <t>Orissa</t>
        </is>
      </c>
      <c r="H80" t="inlineStr">
        <is>
          <t>Angul</t>
        </is>
      </c>
      <c r="I80" t="inlineStr">
        <is>
          <t>2025-05-08</t>
        </is>
      </c>
      <c r="J80" t="inlineStr">
        <is>
          <t>AOC</t>
        </is>
      </c>
      <c r="K80" t="inlineStr">
        <is>
          <t>Hari Ram Godara</t>
        </is>
      </c>
      <c r="L80" t="inlineStr"/>
      <c r="M80" t="inlineStr">
        <is>
          <t>5 named / 13</t>
        </is>
      </c>
      <c r="N80" t="n">
        <v>472.31</v>
      </c>
      <c r="O80" t="n">
        <v>212</v>
      </c>
      <c r="P80">
        <f>MAX(O80,Settings!$B$13)*Settings!$B$7</f>
        <v/>
      </c>
      <c r="Q80">
        <f>MAX(O80,Settings!$B$13)*Settings!$B$8</f>
        <v/>
      </c>
      <c r="R80" s="4">
        <f>MAX(P80*Settings!$B$5,IF(ISNUMBER(Settings!$B$12),Settings!$B$12,0))*(1+IF(Settings!$B$11="Y",0,Settings!$B$10/100))+N(Settings!$B$9)</f>
        <v/>
      </c>
      <c r="S80" s="4">
        <f>IF(Q80&gt;1000,"beyond table",IFERROR(LOOKUP(Q80,'FOIS 145A'!$A$2:$A$22,'FOIS 145A'!$C$2:$C$22),""))</f>
        <v/>
      </c>
      <c r="T80" s="4">
        <f>IF(ISNUMBER(S80),S80*(1+IF(Settings!$B$11="Y",0,Settings!$B$10/100))+2*N(Settings!$B$9),"")</f>
        <v/>
      </c>
      <c r="U80">
        <f>IF(ISNUMBER(T80),IF(T80&lt;R80,"Rail","Road"),"")</f>
        <v/>
      </c>
      <c r="V80" s="4">
        <f>IF(ISNUMBER(T80),ABS(R80-T80),"")</f>
        <v/>
      </c>
      <c r="W80">
        <f>IF(OR(ISNUMBER(SEARCH("siding",D80)),ISNUMBER(SEARCH("rcr",D80)),ISNUMBER(SEARCH("rail",D80)),ISNUMBER(SEARCH("wagon",D80))),"Yes - siding/rail in title","Check")</f>
        <v/>
      </c>
      <c r="X80">
        <f>Settings!$B$6</f>
        <v/>
      </c>
    </row>
    <row r="81">
      <c r="A81" t="inlineStr">
        <is>
          <t>B 150-300 km</t>
        </is>
      </c>
      <c r="B81" t="inlineStr">
        <is>
          <t>12422007</t>
        </is>
      </c>
      <c r="C81" t="inlineStr">
        <is>
          <t>GEM/2024/B/5737749</t>
        </is>
      </c>
      <c r="D81" t="inlineStr">
        <is>
          <t>transportation of coal by road from mcl talcher coalfield to cpp nalco an</t>
        </is>
      </c>
      <c r="E81" t="inlineStr">
        <is>
          <t>Coal transport (road)</t>
        </is>
      </c>
      <c r="F81" t="inlineStr">
        <is>
          <t>National Aluminium Company Limited</t>
        </is>
      </c>
      <c r="G81" t="inlineStr">
        <is>
          <t>Orissa</t>
        </is>
      </c>
      <c r="H81" t="inlineStr">
        <is>
          <t>Angul</t>
        </is>
      </c>
      <c r="I81" t="inlineStr">
        <is>
          <t>2025-01-14</t>
        </is>
      </c>
      <c r="J81" t="inlineStr">
        <is>
          <t>AOC</t>
        </is>
      </c>
      <c r="K81" t="inlineStr">
        <is>
          <t>Omm Shakti Traders</t>
        </is>
      </c>
      <c r="L81" t="inlineStr"/>
      <c r="M81" t="inlineStr">
        <is>
          <t>5 named / 11</t>
        </is>
      </c>
      <c r="N81" t="n">
        <v>8.07</v>
      </c>
      <c r="O81" t="n">
        <v>212</v>
      </c>
      <c r="P81">
        <f>MAX(O81,Settings!$B$13)*Settings!$B$7</f>
        <v/>
      </c>
      <c r="Q81">
        <f>MAX(O81,Settings!$B$13)*Settings!$B$8</f>
        <v/>
      </c>
      <c r="R81" s="4">
        <f>MAX(P81*Settings!$B$5,IF(ISNUMBER(Settings!$B$12),Settings!$B$12,0))*(1+IF(Settings!$B$11="Y",0,Settings!$B$10/100))+N(Settings!$B$9)</f>
        <v/>
      </c>
      <c r="S81" s="4">
        <f>IF(Q81&gt;1000,"beyond table",IFERROR(LOOKUP(Q81,'FOIS 145A'!$A$2:$A$22,'FOIS 145A'!$C$2:$C$22),""))</f>
        <v/>
      </c>
      <c r="T81" s="4">
        <f>IF(ISNUMBER(S81),S81*(1+IF(Settings!$B$11="Y",0,Settings!$B$10/100))+2*N(Settings!$B$9),"")</f>
        <v/>
      </c>
      <c r="U81">
        <f>IF(ISNUMBER(T81),IF(T81&lt;R81,"Rail","Road"),"")</f>
        <v/>
      </c>
      <c r="V81" s="4">
        <f>IF(ISNUMBER(T81),ABS(R81-T81),"")</f>
        <v/>
      </c>
      <c r="W81">
        <f>IF(OR(ISNUMBER(SEARCH("siding",D81)),ISNUMBER(SEARCH("rcr",D81)),ISNUMBER(SEARCH("rail",D81)),ISNUMBER(SEARCH("wagon",D81))),"Yes - siding/rail in title","Check")</f>
        <v/>
      </c>
      <c r="X81">
        <f>Settings!$B$6</f>
        <v/>
      </c>
    </row>
    <row r="82">
      <c r="A82" t="inlineStr">
        <is>
          <t>B 150-300 km</t>
        </is>
      </c>
      <c r="B82" t="inlineStr">
        <is>
          <t>17906545</t>
        </is>
      </c>
      <c r="C82" t="inlineStr">
        <is>
          <t>GEM/2026/B/7405314</t>
        </is>
      </c>
      <c r="D82" t="inlineStr">
        <is>
          <t>loading of yard coal into nalco wagons by pc-210 and pc-220  pay loader at foph siding and chp-3 extension stockyard</t>
        </is>
      </c>
      <c r="E82" t="inlineStr">
        <is>
          <t>Loading / handling / crushing</t>
        </is>
      </c>
      <c r="F82" t="inlineStr">
        <is>
          <t>National Aluminium Company Limited</t>
        </is>
      </c>
      <c r="G82" t="inlineStr">
        <is>
          <t>Orissa</t>
        </is>
      </c>
      <c r="H82" t="inlineStr">
        <is>
          <t>Angul</t>
        </is>
      </c>
      <c r="I82" t="inlineStr">
        <is>
          <t>2026-05-07</t>
        </is>
      </c>
      <c r="J82" t="inlineStr">
        <is>
          <t>AOC</t>
        </is>
      </c>
      <c r="K82" t="inlineStr">
        <is>
          <t xml:space="preserve">M/S Govinda Enterprises </t>
        </is>
      </c>
      <c r="L82" t="inlineStr"/>
      <c r="M82" t="inlineStr">
        <is>
          <t>5 named / 11</t>
        </is>
      </c>
      <c r="N82" t="n">
        <v>4</v>
      </c>
      <c r="O82" t="n">
        <v>212</v>
      </c>
      <c r="P82">
        <f>MAX(O82,Settings!$B$13)*Settings!$B$7</f>
        <v/>
      </c>
      <c r="Q82">
        <f>MAX(O82,Settings!$B$13)*Settings!$B$8</f>
        <v/>
      </c>
      <c r="R82" s="4">
        <f>MAX(P82*Settings!$B$5,IF(ISNUMBER(Settings!$B$12),Settings!$B$12,0))*(1+IF(Settings!$B$11="Y",0,Settings!$B$10/100))+N(Settings!$B$9)</f>
        <v/>
      </c>
      <c r="S82" s="4">
        <f>IF(Q82&gt;1000,"beyond table",IFERROR(LOOKUP(Q82,'FOIS 145A'!$A$2:$A$22,'FOIS 145A'!$C$2:$C$22),""))</f>
        <v/>
      </c>
      <c r="T82" s="4">
        <f>IF(ISNUMBER(S82),S82*(1+IF(Settings!$B$11="Y",0,Settings!$B$10/100))+2*N(Settings!$B$9),"")</f>
        <v/>
      </c>
      <c r="U82">
        <f>IF(ISNUMBER(T82),IF(T82&lt;R82,"Rail","Road"),"")</f>
        <v/>
      </c>
      <c r="V82" s="4">
        <f>IF(ISNUMBER(T82),ABS(R82-T82),"")</f>
        <v/>
      </c>
      <c r="W82">
        <f>IF(OR(ISNUMBER(SEARCH("siding",D82)),ISNUMBER(SEARCH("rcr",D82)),ISNUMBER(SEARCH("rail",D82)),ISNUMBER(SEARCH("wagon",D82))),"Yes - siding/rail in title","Check")</f>
        <v/>
      </c>
      <c r="X82">
        <f>Settings!$B$6</f>
        <v/>
      </c>
    </row>
    <row r="83">
      <c r="A83" t="inlineStr">
        <is>
          <t>B 150-300 km</t>
        </is>
      </c>
      <c r="B83" t="inlineStr">
        <is>
          <t>17596798</t>
        </is>
      </c>
      <c r="C83" t="inlineStr">
        <is>
          <t>GEM/2025/B/7004499</t>
        </is>
      </c>
      <c r="D83" t="inlineStr">
        <is>
          <t>coordination liasion, loading, supervision and movement of coal rakes for linkage coal and e-auction coal supplied through railway bobrn rak</t>
        </is>
      </c>
      <c r="E83" t="inlineStr">
        <is>
          <t>Loading / handling / crushing</t>
        </is>
      </c>
      <c r="F83" t="inlineStr">
        <is>
          <t>National Aluminium Company Limited</t>
        </is>
      </c>
      <c r="G83" t="inlineStr">
        <is>
          <t>Orissa</t>
        </is>
      </c>
      <c r="H83" t="inlineStr">
        <is>
          <t>Angul</t>
        </is>
      </c>
      <c r="I83" t="inlineStr">
        <is>
          <t>2026-01-21</t>
        </is>
      </c>
      <c r="J83" t="inlineStr">
        <is>
          <t>AOC</t>
        </is>
      </c>
      <c r="K83" t="inlineStr">
        <is>
          <t>Coalsale Company Limited</t>
        </is>
      </c>
      <c r="L83" t="inlineStr">
        <is>
          <t>Anoop Road Carriers, Godavari Commodities</t>
        </is>
      </c>
      <c r="M83" t="inlineStr">
        <is>
          <t>5 named / 10</t>
        </is>
      </c>
      <c r="N83" t="n">
        <v>1.32</v>
      </c>
      <c r="O83" t="n">
        <v>212</v>
      </c>
      <c r="P83">
        <f>MAX(O83,Settings!$B$13)*Settings!$B$7</f>
        <v/>
      </c>
      <c r="Q83">
        <f>MAX(O83,Settings!$B$13)*Settings!$B$8</f>
        <v/>
      </c>
      <c r="R83" s="4">
        <f>MAX(P83*Settings!$B$5,IF(ISNUMBER(Settings!$B$12),Settings!$B$12,0))*(1+IF(Settings!$B$11="Y",0,Settings!$B$10/100))+N(Settings!$B$9)</f>
        <v/>
      </c>
      <c r="S83" s="4">
        <f>IF(Q83&gt;1000,"beyond table",IFERROR(LOOKUP(Q83,'FOIS 145A'!$A$2:$A$22,'FOIS 145A'!$C$2:$C$22),""))</f>
        <v/>
      </c>
      <c r="T83" s="4">
        <f>IF(ISNUMBER(S83),S83*(1+IF(Settings!$B$11="Y",0,Settings!$B$10/100))+2*N(Settings!$B$9),"")</f>
        <v/>
      </c>
      <c r="U83">
        <f>IF(ISNUMBER(T83),IF(T83&lt;R83,"Rail","Road"),"")</f>
        <v/>
      </c>
      <c r="V83" s="4">
        <f>IF(ISNUMBER(T83),ABS(R83-T83),"")</f>
        <v/>
      </c>
      <c r="W83">
        <f>IF(OR(ISNUMBER(SEARCH("siding",D83)),ISNUMBER(SEARCH("rcr",D83)),ISNUMBER(SEARCH("rail",D83)),ISNUMBER(SEARCH("wagon",D83))),"Yes - siding/rail in title","Check")</f>
        <v/>
      </c>
      <c r="X83">
        <f>Settings!$B$6</f>
        <v/>
      </c>
    </row>
    <row r="84">
      <c r="A84" t="inlineStr">
        <is>
          <t>B 150-300 km</t>
        </is>
      </c>
      <c r="B84" t="inlineStr">
        <is>
          <t>15581027</t>
        </is>
      </c>
      <c r="C84" t="inlineStr">
        <is>
          <t>GEM/2025/B/6475875</t>
        </is>
      </c>
      <c r="D84" t="inlineStr">
        <is>
          <t>unloading of coal frombobrn wagon on track hoppers</t>
        </is>
      </c>
      <c r="E84" t="inlineStr">
        <is>
          <t>Loading / handling / crushing</t>
        </is>
      </c>
      <c r="F84" t="inlineStr">
        <is>
          <t>National Aluminium Company Limited</t>
        </is>
      </c>
      <c r="G84" t="inlineStr">
        <is>
          <t>Orissa</t>
        </is>
      </c>
      <c r="H84" t="inlineStr">
        <is>
          <t>Angul</t>
        </is>
      </c>
      <c r="I84" t="inlineStr">
        <is>
          <t>2025-08-21</t>
        </is>
      </c>
      <c r="J84" t="inlineStr">
        <is>
          <t>AOC</t>
        </is>
      </c>
      <c r="K84" t="inlineStr">
        <is>
          <t xml:space="preserve">M/S Govinda Enterprises </t>
        </is>
      </c>
      <c r="L84" t="inlineStr"/>
      <c r="M84" t="inlineStr">
        <is>
          <t>5 named / 7</t>
        </is>
      </c>
      <c r="N84" t="n">
        <v>0.95</v>
      </c>
      <c r="O84" t="n">
        <v>212</v>
      </c>
      <c r="P84">
        <f>MAX(O84,Settings!$B$13)*Settings!$B$7</f>
        <v/>
      </c>
      <c r="Q84">
        <f>MAX(O84,Settings!$B$13)*Settings!$B$8</f>
        <v/>
      </c>
      <c r="R84" s="4">
        <f>MAX(P84*Settings!$B$5,IF(ISNUMBER(Settings!$B$12),Settings!$B$12,0))*(1+IF(Settings!$B$11="Y",0,Settings!$B$10/100))+N(Settings!$B$9)</f>
        <v/>
      </c>
      <c r="S84" s="4">
        <f>IF(Q84&gt;1000,"beyond table",IFERROR(LOOKUP(Q84,'FOIS 145A'!$A$2:$A$22,'FOIS 145A'!$C$2:$C$22),""))</f>
        <v/>
      </c>
      <c r="T84" s="4">
        <f>IF(ISNUMBER(S84),S84*(1+IF(Settings!$B$11="Y",0,Settings!$B$10/100))+2*N(Settings!$B$9),"")</f>
        <v/>
      </c>
      <c r="U84">
        <f>IF(ISNUMBER(T84),IF(T84&lt;R84,"Rail","Road"),"")</f>
        <v/>
      </c>
      <c r="V84" s="4">
        <f>IF(ISNUMBER(T84),ABS(R84-T84),"")</f>
        <v/>
      </c>
      <c r="W84">
        <f>IF(OR(ISNUMBER(SEARCH("siding",D84)),ISNUMBER(SEARCH("rcr",D84)),ISNUMBER(SEARCH("rail",D84)),ISNUMBER(SEARCH("wagon",D84))),"Yes - siding/rail in title","Check")</f>
        <v/>
      </c>
      <c r="X84">
        <f>Settings!$B$6</f>
        <v/>
      </c>
    </row>
    <row r="85">
      <c r="A85" t="inlineStr">
        <is>
          <t>B 150-300 km</t>
        </is>
      </c>
      <c r="B85" t="inlineStr">
        <is>
          <t>12438622</t>
        </is>
      </c>
      <c r="C85" t="inlineStr">
        <is>
          <t>GEM/2025/B/5775726</t>
        </is>
      </c>
      <c r="D85" t="inlineStr">
        <is>
          <t>coal loading at pit head s</t>
        </is>
      </c>
      <c r="E85" t="inlineStr">
        <is>
          <t>Loading / handling / crushing</t>
        </is>
      </c>
      <c r="F85" t="inlineStr">
        <is>
          <t>Mahanadi Coalfields Limited</t>
        </is>
      </c>
      <c r="G85" t="inlineStr">
        <is>
          <t>Orissa</t>
        </is>
      </c>
      <c r="H85" t="inlineStr">
        <is>
          <t>Angul</t>
        </is>
      </c>
      <c r="I85" t="inlineStr">
        <is>
          <t>2025-01-20</t>
        </is>
      </c>
      <c r="J85" t="inlineStr">
        <is>
          <t>AOC</t>
        </is>
      </c>
      <c r="K85" t="inlineStr">
        <is>
          <t>Saikrupa Transport</t>
        </is>
      </c>
      <c r="L85" t="inlineStr">
        <is>
          <t>Saikrupa Coal Supplier</t>
        </is>
      </c>
      <c r="M85" t="inlineStr">
        <is>
          <t>5 named / 5</t>
        </is>
      </c>
      <c r="N85" t="n">
        <v>25</v>
      </c>
      <c r="O85" t="n">
        <v>212</v>
      </c>
      <c r="P85">
        <f>MAX(O85,Settings!$B$13)*Settings!$B$7</f>
        <v/>
      </c>
      <c r="Q85">
        <f>MAX(O85,Settings!$B$13)*Settings!$B$8</f>
        <v/>
      </c>
      <c r="R85" s="4">
        <f>MAX(P85*Settings!$B$5,IF(ISNUMBER(Settings!$B$12),Settings!$B$12,0))*(1+IF(Settings!$B$11="Y",0,Settings!$B$10/100))+N(Settings!$B$9)</f>
        <v/>
      </c>
      <c r="S85" s="4">
        <f>IF(Q85&gt;1000,"beyond table",IFERROR(LOOKUP(Q85,'FOIS 145A'!$A$2:$A$22,'FOIS 145A'!$C$2:$C$22),""))</f>
        <v/>
      </c>
      <c r="T85" s="4">
        <f>IF(ISNUMBER(S85),S85*(1+IF(Settings!$B$11="Y",0,Settings!$B$10/100))+2*N(Settings!$B$9),"")</f>
        <v/>
      </c>
      <c r="U85">
        <f>IF(ISNUMBER(T85),IF(T85&lt;R85,"Rail","Road"),"")</f>
        <v/>
      </c>
      <c r="V85" s="4">
        <f>IF(ISNUMBER(T85),ABS(R85-T85),"")</f>
        <v/>
      </c>
      <c r="W85">
        <f>IF(OR(ISNUMBER(SEARCH("siding",D85)),ISNUMBER(SEARCH("rcr",D85)),ISNUMBER(SEARCH("rail",D85)),ISNUMBER(SEARCH("wagon",D85))),"Yes - siding/rail in title","Check")</f>
        <v/>
      </c>
      <c r="X85">
        <f>Settings!$B$6</f>
        <v/>
      </c>
    </row>
    <row r="86">
      <c r="A86" t="inlineStr">
        <is>
          <t>B 150-300 km</t>
        </is>
      </c>
      <c r="B86" t="inlineStr">
        <is>
          <t>16862563</t>
        </is>
      </c>
      <c r="C86" t="inlineStr">
        <is>
          <t>GEM/2025/B/7048687</t>
        </is>
      </c>
      <c r="D86" t="inlineStr">
        <is>
          <t>coal extraction kaniha ocp mcl</t>
        </is>
      </c>
      <c r="E86" t="inlineStr">
        <is>
          <t>Mining services (OB / extraction)</t>
        </is>
      </c>
      <c r="F86" t="inlineStr">
        <is>
          <t>Mahanadi Coalfields Limited</t>
        </is>
      </c>
      <c r="G86" t="inlineStr">
        <is>
          <t>Orissa</t>
        </is>
      </c>
      <c r="H86" t="inlineStr">
        <is>
          <t>Angul</t>
        </is>
      </c>
      <c r="I86" t="inlineStr">
        <is>
          <t>2026-01-19</t>
        </is>
      </c>
      <c r="J86" t="inlineStr">
        <is>
          <t>AOC</t>
        </is>
      </c>
      <c r="K86" t="inlineStr">
        <is>
          <t>Vfpl Asipl Jv Company</t>
        </is>
      </c>
      <c r="L86" t="inlineStr"/>
      <c r="M86" t="inlineStr">
        <is>
          <t>5 named / 12</t>
        </is>
      </c>
      <c r="N86" t="n">
        <v>117.55</v>
      </c>
      <c r="O86" t="n">
        <v>212</v>
      </c>
      <c r="P86">
        <f>MAX(O86,Settings!$B$13)*Settings!$B$7</f>
        <v/>
      </c>
      <c r="Q86">
        <f>MAX(O86,Settings!$B$13)*Settings!$B$8</f>
        <v/>
      </c>
      <c r="R86" s="4">
        <f>MAX(P86*Settings!$B$5,IF(ISNUMBER(Settings!$B$12),Settings!$B$12,0))*(1+IF(Settings!$B$11="Y",0,Settings!$B$10/100))+N(Settings!$B$9)</f>
        <v/>
      </c>
      <c r="S86" s="4">
        <f>IF(Q86&gt;1000,"beyond table",IFERROR(LOOKUP(Q86,'FOIS 145A'!$A$2:$A$22,'FOIS 145A'!$C$2:$C$22),""))</f>
        <v/>
      </c>
      <c r="T86" s="4">
        <f>IF(ISNUMBER(S86),S86*(1+IF(Settings!$B$11="Y",0,Settings!$B$10/100))+2*N(Settings!$B$9),"")</f>
        <v/>
      </c>
      <c r="U86">
        <f>IF(ISNUMBER(T86),IF(T86&lt;R86,"Rail","Road"),"")</f>
        <v/>
      </c>
      <c r="V86" s="4">
        <f>IF(ISNUMBER(T86),ABS(R86-T86),"")</f>
        <v/>
      </c>
      <c r="W86">
        <f>IF(OR(ISNUMBER(SEARCH("siding",D86)),ISNUMBER(SEARCH("rcr",D86)),ISNUMBER(SEARCH("rail",D86)),ISNUMBER(SEARCH("wagon",D86))),"Yes - siding/rail in title","Check")</f>
        <v/>
      </c>
      <c r="X86">
        <f>Settings!$B$6</f>
        <v/>
      </c>
    </row>
    <row r="87">
      <c r="A87" t="inlineStr">
        <is>
          <t>B 150-300 km</t>
        </is>
      </c>
      <c r="B87" t="inlineStr">
        <is>
          <t>12563385</t>
        </is>
      </c>
      <c r="C87" t="inlineStr">
        <is>
          <t>GEM/2025/B/5825045</t>
        </is>
      </c>
      <c r="D87" t="inlineStr">
        <is>
          <t>loading and transportation</t>
        </is>
      </c>
      <c r="E87" t="inlineStr">
        <is>
          <t>Coal transport (road)</t>
        </is>
      </c>
      <c r="F87" t="inlineStr">
        <is>
          <t>Mahanadi Coalfields Limited</t>
        </is>
      </c>
      <c r="G87" t="inlineStr">
        <is>
          <t>Orissa</t>
        </is>
      </c>
      <c r="H87" t="inlineStr">
        <is>
          <t>Talcher</t>
        </is>
      </c>
      <c r="I87" t="inlineStr">
        <is>
          <t>2025-02-03</t>
        </is>
      </c>
      <c r="J87" t="inlineStr">
        <is>
          <t>AOC</t>
        </is>
      </c>
      <c r="K87" t="inlineStr">
        <is>
          <t>Firstmove Logistics Private Limited</t>
        </is>
      </c>
      <c r="L87" t="inlineStr">
        <is>
          <t>Caliber Mining and Logistics</t>
        </is>
      </c>
      <c r="M87" t="inlineStr">
        <is>
          <t>5 named / 13</t>
        </is>
      </c>
      <c r="N87" t="n">
        <v>182.62</v>
      </c>
      <c r="O87" t="n">
        <v>216</v>
      </c>
      <c r="P87">
        <f>MAX(O87,Settings!$B$13)*Settings!$B$7</f>
        <v/>
      </c>
      <c r="Q87">
        <f>MAX(O87,Settings!$B$13)*Settings!$B$8</f>
        <v/>
      </c>
      <c r="R87" s="4">
        <f>MAX(P87*Settings!$B$5,IF(ISNUMBER(Settings!$B$12),Settings!$B$12,0))*(1+IF(Settings!$B$11="Y",0,Settings!$B$10/100))+N(Settings!$B$9)</f>
        <v/>
      </c>
      <c r="S87" s="4">
        <f>IF(Q87&gt;1000,"beyond table",IFERROR(LOOKUP(Q87,'FOIS 145A'!$A$2:$A$22,'FOIS 145A'!$C$2:$C$22),""))</f>
        <v/>
      </c>
      <c r="T87" s="4">
        <f>IF(ISNUMBER(S87),S87*(1+IF(Settings!$B$11="Y",0,Settings!$B$10/100))+2*N(Settings!$B$9),"")</f>
        <v/>
      </c>
      <c r="U87">
        <f>IF(ISNUMBER(T87),IF(T87&lt;R87,"Rail","Road"),"")</f>
        <v/>
      </c>
      <c r="V87" s="4">
        <f>IF(ISNUMBER(T87),ABS(R87-T87),"")</f>
        <v/>
      </c>
      <c r="W87">
        <f>IF(OR(ISNUMBER(SEARCH("siding",D87)),ISNUMBER(SEARCH("rcr",D87)),ISNUMBER(SEARCH("rail",D87)),ISNUMBER(SEARCH("wagon",D87))),"Yes - siding/rail in title","Check")</f>
        <v/>
      </c>
      <c r="X87">
        <f>Settings!$B$6</f>
        <v/>
      </c>
    </row>
    <row r="88">
      <c r="A88" t="inlineStr">
        <is>
          <t>B 150-300 km</t>
        </is>
      </c>
      <c r="B88" t="inlineStr">
        <is>
          <t>17085568</t>
        </is>
      </c>
      <c r="C88" t="inlineStr">
        <is>
          <t>GEM/2026/B/7253339</t>
        </is>
      </c>
      <c r="D88" t="inlineStr">
        <is>
          <t>handling service, transport service, handling &amp; transport service, hiring of payloader for mechanical loading of coal and hiring of tipper f</t>
        </is>
      </c>
      <c r="E88" t="inlineStr">
        <is>
          <t>Coal transport (road)</t>
        </is>
      </c>
      <c r="F88" t="inlineStr">
        <is>
          <t>South Eastern Coalfields Limited</t>
        </is>
      </c>
      <c r="G88" t="inlineStr">
        <is>
          <t>Madhya Pradesh</t>
        </is>
      </c>
      <c r="H88" t="inlineStr">
        <is>
          <t>Anuppur</t>
        </is>
      </c>
      <c r="I88" t="inlineStr">
        <is>
          <t>2026-03-05</t>
        </is>
      </c>
      <c r="J88" t="inlineStr">
        <is>
          <t>AOC</t>
        </is>
      </c>
      <c r="K88" t="inlineStr">
        <is>
          <t>Nakul Tiwari</t>
        </is>
      </c>
      <c r="L88" t="inlineStr">
        <is>
          <t>Chandan Kumar Singh</t>
        </is>
      </c>
      <c r="M88" t="inlineStr">
        <is>
          <t>5 named / 7</t>
        </is>
      </c>
      <c r="N88" t="n">
        <v>30.12</v>
      </c>
      <c r="O88" t="n">
        <v>221</v>
      </c>
      <c r="P88">
        <f>MAX(O88,Settings!$B$13)*Settings!$B$7</f>
        <v/>
      </c>
      <c r="Q88">
        <f>MAX(O88,Settings!$B$13)*Settings!$B$8</f>
        <v/>
      </c>
      <c r="R88" s="4">
        <f>MAX(P88*Settings!$B$5,IF(ISNUMBER(Settings!$B$12),Settings!$B$12,0))*(1+IF(Settings!$B$11="Y",0,Settings!$B$10/100))+N(Settings!$B$9)</f>
        <v/>
      </c>
      <c r="S88" s="4">
        <f>IF(Q88&gt;1000,"beyond table",IFERROR(LOOKUP(Q88,'FOIS 145A'!$A$2:$A$22,'FOIS 145A'!$C$2:$C$22),""))</f>
        <v/>
      </c>
      <c r="T88" s="4">
        <f>IF(ISNUMBER(S88),S88*(1+IF(Settings!$B$11="Y",0,Settings!$B$10/100))+2*N(Settings!$B$9),"")</f>
        <v/>
      </c>
      <c r="U88">
        <f>IF(ISNUMBER(T88),IF(T88&lt;R88,"Rail","Road"),"")</f>
        <v/>
      </c>
      <c r="V88" s="4">
        <f>IF(ISNUMBER(T88),ABS(R88-T88),"")</f>
        <v/>
      </c>
      <c r="W88">
        <f>IF(OR(ISNUMBER(SEARCH("siding",D88)),ISNUMBER(SEARCH("rcr",D88)),ISNUMBER(SEARCH("rail",D88)),ISNUMBER(SEARCH("wagon",D88))),"Yes - siding/rail in title","Check")</f>
        <v/>
      </c>
      <c r="X88">
        <f>Settings!$B$6</f>
        <v/>
      </c>
    </row>
    <row r="89">
      <c r="A89" t="inlineStr">
        <is>
          <t>B 150-300 km</t>
        </is>
      </c>
      <c r="B89" t="inlineStr">
        <is>
          <t>16775488</t>
        </is>
      </c>
      <c r="C89" t="inlineStr">
        <is>
          <t>GEM/2025/B/6978258</t>
        </is>
      </c>
      <c r="D89" t="inlineStr">
        <is>
          <t>hiring of payloader and tippers for transportation of coal at bartarai colliery jamuna kotma area</t>
        </is>
      </c>
      <c r="E89" t="inlineStr">
        <is>
          <t>Coal transport (road)</t>
        </is>
      </c>
      <c r="F89" t="inlineStr">
        <is>
          <t>South Eastern Coalfields Limited</t>
        </is>
      </c>
      <c r="G89" t="inlineStr">
        <is>
          <t>Madhya Pradesh</t>
        </is>
      </c>
      <c r="H89" t="inlineStr">
        <is>
          <t>Anuppur</t>
        </is>
      </c>
      <c r="I89" t="inlineStr">
        <is>
          <t>2025-12-26</t>
        </is>
      </c>
      <c r="J89" t="inlineStr">
        <is>
          <t>AOC</t>
        </is>
      </c>
      <c r="K89" t="inlineStr">
        <is>
          <t>Narendra Singh Bindra</t>
        </is>
      </c>
      <c r="L89" t="inlineStr">
        <is>
          <t>G K Associates, Chandan Kumar Singh</t>
        </is>
      </c>
      <c r="M89" t="inlineStr">
        <is>
          <t>5 named / 12</t>
        </is>
      </c>
      <c r="N89" t="n">
        <v>23.2</v>
      </c>
      <c r="O89" t="n">
        <v>221</v>
      </c>
      <c r="P89">
        <f>MAX(O89,Settings!$B$13)*Settings!$B$7</f>
        <v/>
      </c>
      <c r="Q89">
        <f>MAX(O89,Settings!$B$13)*Settings!$B$8</f>
        <v/>
      </c>
      <c r="R89" s="4">
        <f>MAX(P89*Settings!$B$5,IF(ISNUMBER(Settings!$B$12),Settings!$B$12,0))*(1+IF(Settings!$B$11="Y",0,Settings!$B$10/100))+N(Settings!$B$9)</f>
        <v/>
      </c>
      <c r="S89" s="4">
        <f>IF(Q89&gt;1000,"beyond table",IFERROR(LOOKUP(Q89,'FOIS 145A'!$A$2:$A$22,'FOIS 145A'!$C$2:$C$22),""))</f>
        <v/>
      </c>
      <c r="T89" s="4">
        <f>IF(ISNUMBER(S89),S89*(1+IF(Settings!$B$11="Y",0,Settings!$B$10/100))+2*N(Settings!$B$9),"")</f>
        <v/>
      </c>
      <c r="U89">
        <f>IF(ISNUMBER(T89),IF(T89&lt;R89,"Rail","Road"),"")</f>
        <v/>
      </c>
      <c r="V89" s="4">
        <f>IF(ISNUMBER(T89),ABS(R89-T89),"")</f>
        <v/>
      </c>
      <c r="W89">
        <f>IF(OR(ISNUMBER(SEARCH("siding",D89)),ISNUMBER(SEARCH("rcr",D89)),ISNUMBER(SEARCH("rail",D89)),ISNUMBER(SEARCH("wagon",D89))),"Yes - siding/rail in title","Check")</f>
        <v/>
      </c>
      <c r="X89">
        <f>Settings!$B$6</f>
        <v/>
      </c>
    </row>
    <row r="90">
      <c r="A90" t="inlineStr">
        <is>
          <t>B 150-300 km</t>
        </is>
      </c>
      <c r="B90" t="inlineStr">
        <is>
          <t>16221712</t>
        </is>
      </c>
      <c r="C90" t="inlineStr">
        <is>
          <t>GEM/2025/B/6884579</t>
        </is>
      </c>
      <c r="D90" t="inlineStr">
        <is>
          <t>transport service, handling &amp; transport service, handling service, loading and transportation of coal at rajendra ug mine, sohagpur area, se</t>
        </is>
      </c>
      <c r="E90" t="inlineStr">
        <is>
          <t>Coal transport (road)</t>
        </is>
      </c>
      <c r="F90" t="inlineStr">
        <is>
          <t>South Eastern Coalfields Limited</t>
        </is>
      </c>
      <c r="G90" t="inlineStr">
        <is>
          <t>Madhya Pradesh</t>
        </is>
      </c>
      <c r="H90" t="inlineStr">
        <is>
          <t>Anuppur</t>
        </is>
      </c>
      <c r="I90" t="inlineStr">
        <is>
          <t>2025-11-28</t>
        </is>
      </c>
      <c r="J90" t="inlineStr">
        <is>
          <t>AOC</t>
        </is>
      </c>
      <c r="K90" t="inlineStr">
        <is>
          <t>Khan Transport</t>
        </is>
      </c>
      <c r="L90" t="inlineStr">
        <is>
          <t>G K Associates, Chandan Kumar Singh</t>
        </is>
      </c>
      <c r="M90" t="inlineStr">
        <is>
          <t>5 named / 9</t>
        </is>
      </c>
      <c r="N90" t="n">
        <v>18.3</v>
      </c>
      <c r="O90" t="n">
        <v>221</v>
      </c>
      <c r="P90">
        <f>MAX(O90,Settings!$B$13)*Settings!$B$7</f>
        <v/>
      </c>
      <c r="Q90">
        <f>MAX(O90,Settings!$B$13)*Settings!$B$8</f>
        <v/>
      </c>
      <c r="R90" s="4">
        <f>MAX(P90*Settings!$B$5,IF(ISNUMBER(Settings!$B$12),Settings!$B$12,0))*(1+IF(Settings!$B$11="Y",0,Settings!$B$10/100))+N(Settings!$B$9)</f>
        <v/>
      </c>
      <c r="S90" s="4">
        <f>IF(Q90&gt;1000,"beyond table",IFERROR(LOOKUP(Q90,'FOIS 145A'!$A$2:$A$22,'FOIS 145A'!$C$2:$C$22),""))</f>
        <v/>
      </c>
      <c r="T90" s="4">
        <f>IF(ISNUMBER(S90),S90*(1+IF(Settings!$B$11="Y",0,Settings!$B$10/100))+2*N(Settings!$B$9),"")</f>
        <v/>
      </c>
      <c r="U90">
        <f>IF(ISNUMBER(T90),IF(T90&lt;R90,"Rail","Road"),"")</f>
        <v/>
      </c>
      <c r="V90" s="4">
        <f>IF(ISNUMBER(T90),ABS(R90-T90),"")</f>
        <v/>
      </c>
      <c r="W90">
        <f>IF(OR(ISNUMBER(SEARCH("siding",D90)),ISNUMBER(SEARCH("rcr",D90)),ISNUMBER(SEARCH("rail",D90)),ISNUMBER(SEARCH("wagon",D90))),"Yes - siding/rail in title","Check")</f>
        <v/>
      </c>
      <c r="X90">
        <f>Settings!$B$6</f>
        <v/>
      </c>
    </row>
    <row r="91">
      <c r="A91" t="inlineStr">
        <is>
          <t>B 150-300 km</t>
        </is>
      </c>
      <c r="B91" t="inlineStr">
        <is>
          <t>13577938</t>
        </is>
      </c>
      <c r="C91" t="inlineStr">
        <is>
          <t>GEM/2025/B/6185336</t>
        </is>
      </c>
      <c r="D91" t="inlineStr">
        <is>
          <t>handling &amp; transport servi</t>
        </is>
      </c>
      <c r="E91" t="inlineStr">
        <is>
          <t>Coal transport (road)</t>
        </is>
      </c>
      <c r="F91" t="inlineStr">
        <is>
          <t>South Eastern Coalfields Limited</t>
        </is>
      </c>
      <c r="G91" t="inlineStr">
        <is>
          <t>Madhya Pradesh</t>
        </is>
      </c>
      <c r="H91" t="inlineStr">
        <is>
          <t>Anuppur</t>
        </is>
      </c>
      <c r="I91" t="inlineStr">
        <is>
          <t>2025-05-16</t>
        </is>
      </c>
      <c r="J91" t="inlineStr">
        <is>
          <t>AOC</t>
        </is>
      </c>
      <c r="K91" t="inlineStr">
        <is>
          <t>Nakul Tiwari</t>
        </is>
      </c>
      <c r="L91" t="inlineStr">
        <is>
          <t>G K Associates</t>
        </is>
      </c>
      <c r="M91" t="inlineStr">
        <is>
          <t>5 named / 8</t>
        </is>
      </c>
      <c r="N91" t="n">
        <v>2.38</v>
      </c>
      <c r="O91" t="n">
        <v>221</v>
      </c>
      <c r="P91">
        <f>MAX(O91,Settings!$B$13)*Settings!$B$7</f>
        <v/>
      </c>
      <c r="Q91">
        <f>MAX(O91,Settings!$B$13)*Settings!$B$8</f>
        <v/>
      </c>
      <c r="R91" s="4">
        <f>MAX(P91*Settings!$B$5,IF(ISNUMBER(Settings!$B$12),Settings!$B$12,0))*(1+IF(Settings!$B$11="Y",0,Settings!$B$10/100))+N(Settings!$B$9)</f>
        <v/>
      </c>
      <c r="S91" s="4">
        <f>IF(Q91&gt;1000,"beyond table",IFERROR(LOOKUP(Q91,'FOIS 145A'!$A$2:$A$22,'FOIS 145A'!$C$2:$C$22),""))</f>
        <v/>
      </c>
      <c r="T91" s="4">
        <f>IF(ISNUMBER(S91),S91*(1+IF(Settings!$B$11="Y",0,Settings!$B$10/100))+2*N(Settings!$B$9),"")</f>
        <v/>
      </c>
      <c r="U91">
        <f>IF(ISNUMBER(T91),IF(T91&lt;R91,"Rail","Road"),"")</f>
        <v/>
      </c>
      <c r="V91" s="4">
        <f>IF(ISNUMBER(T91),ABS(R91-T91),"")</f>
        <v/>
      </c>
      <c r="W91">
        <f>IF(OR(ISNUMBER(SEARCH("siding",D91)),ISNUMBER(SEARCH("rcr",D91)),ISNUMBER(SEARCH("rail",D91)),ISNUMBER(SEARCH("wagon",D91))),"Yes - siding/rail in title","Check")</f>
        <v/>
      </c>
      <c r="X91">
        <f>Settings!$B$6</f>
        <v/>
      </c>
    </row>
    <row r="92">
      <c r="A92" t="inlineStr">
        <is>
          <t>B 150-300 km</t>
        </is>
      </c>
      <c r="B92" t="inlineStr">
        <is>
          <t>13331475</t>
        </is>
      </c>
      <c r="C92" t="inlineStr">
        <is>
          <t>GEM/2025/B/6087018</t>
        </is>
      </c>
      <c r="D92" t="inlineStr">
        <is>
          <t>loading and transportation</t>
        </is>
      </c>
      <c r="E92" t="inlineStr">
        <is>
          <t>Coal transport (road)</t>
        </is>
      </c>
      <c r="F92" t="inlineStr">
        <is>
          <t>South Eastern Coalfields Limited</t>
        </is>
      </c>
      <c r="G92" t="inlineStr">
        <is>
          <t>Madhya Pradesh</t>
        </is>
      </c>
      <c r="H92" t="inlineStr">
        <is>
          <t>Anuppur</t>
        </is>
      </c>
      <c r="I92" t="inlineStr">
        <is>
          <t>2025-04-21</t>
        </is>
      </c>
      <c r="J92" t="inlineStr">
        <is>
          <t>AOC</t>
        </is>
      </c>
      <c r="K92" t="inlineStr">
        <is>
          <t>Vikhyat Raj Logistics Vrl</t>
        </is>
      </c>
      <c r="L92" t="inlineStr">
        <is>
          <t>G K Associates</t>
        </is>
      </c>
      <c r="M92" t="inlineStr">
        <is>
          <t>5 named / 16</t>
        </is>
      </c>
      <c r="N92" t="n">
        <v>16.73</v>
      </c>
      <c r="O92" t="n">
        <v>221</v>
      </c>
      <c r="P92">
        <f>MAX(O92,Settings!$B$13)*Settings!$B$7</f>
        <v/>
      </c>
      <c r="Q92">
        <f>MAX(O92,Settings!$B$13)*Settings!$B$8</f>
        <v/>
      </c>
      <c r="R92" s="4">
        <f>MAX(P92*Settings!$B$5,IF(ISNUMBER(Settings!$B$12),Settings!$B$12,0))*(1+IF(Settings!$B$11="Y",0,Settings!$B$10/100))+N(Settings!$B$9)</f>
        <v/>
      </c>
      <c r="S92" s="4">
        <f>IF(Q92&gt;1000,"beyond table",IFERROR(LOOKUP(Q92,'FOIS 145A'!$A$2:$A$22,'FOIS 145A'!$C$2:$C$22),""))</f>
        <v/>
      </c>
      <c r="T92" s="4">
        <f>IF(ISNUMBER(S92),S92*(1+IF(Settings!$B$11="Y",0,Settings!$B$10/100))+2*N(Settings!$B$9),"")</f>
        <v/>
      </c>
      <c r="U92">
        <f>IF(ISNUMBER(T92),IF(T92&lt;R92,"Rail","Road"),"")</f>
        <v/>
      </c>
      <c r="V92" s="4">
        <f>IF(ISNUMBER(T92),ABS(R92-T92),"")</f>
        <v/>
      </c>
      <c r="W92">
        <f>IF(OR(ISNUMBER(SEARCH("siding",D92)),ISNUMBER(SEARCH("rcr",D92)),ISNUMBER(SEARCH("rail",D92)),ISNUMBER(SEARCH("wagon",D92))),"Yes - siding/rail in title","Check")</f>
        <v/>
      </c>
      <c r="X92">
        <f>Settings!$B$6</f>
        <v/>
      </c>
    </row>
    <row r="93">
      <c r="A93" t="inlineStr">
        <is>
          <t>B 150-300 km</t>
        </is>
      </c>
      <c r="B93" t="inlineStr">
        <is>
          <t>13277734</t>
        </is>
      </c>
      <c r="C93" t="inlineStr">
        <is>
          <t>GEM/2025/B/6094341</t>
        </is>
      </c>
      <c r="D93" t="inlineStr">
        <is>
          <t>loading and transportation</t>
        </is>
      </c>
      <c r="E93" t="inlineStr">
        <is>
          <t>Coal transport (road)</t>
        </is>
      </c>
      <c r="F93" t="inlineStr">
        <is>
          <t>South Eastern Coalfields Limited</t>
        </is>
      </c>
      <c r="G93" t="inlineStr">
        <is>
          <t>Madhya Pradesh</t>
        </is>
      </c>
      <c r="H93" t="inlineStr">
        <is>
          <t>Anuppur</t>
        </is>
      </c>
      <c r="I93" t="inlineStr">
        <is>
          <t>2025-04-15</t>
        </is>
      </c>
      <c r="J93" t="inlineStr">
        <is>
          <t>AOC</t>
        </is>
      </c>
      <c r="K93" t="inlineStr">
        <is>
          <t>Vikhyat Raj Logistics Vrl</t>
        </is>
      </c>
      <c r="L93" t="inlineStr">
        <is>
          <t>G K Associates</t>
        </is>
      </c>
      <c r="M93" t="inlineStr">
        <is>
          <t>5 named / 15</t>
        </is>
      </c>
      <c r="N93" t="n">
        <v>9.93</v>
      </c>
      <c r="O93" t="n">
        <v>221</v>
      </c>
      <c r="P93">
        <f>MAX(O93,Settings!$B$13)*Settings!$B$7</f>
        <v/>
      </c>
      <c r="Q93">
        <f>MAX(O93,Settings!$B$13)*Settings!$B$8</f>
        <v/>
      </c>
      <c r="R93" s="4">
        <f>MAX(P93*Settings!$B$5,IF(ISNUMBER(Settings!$B$12),Settings!$B$12,0))*(1+IF(Settings!$B$11="Y",0,Settings!$B$10/100))+N(Settings!$B$9)</f>
        <v/>
      </c>
      <c r="S93" s="4">
        <f>IF(Q93&gt;1000,"beyond table",IFERROR(LOOKUP(Q93,'FOIS 145A'!$A$2:$A$22,'FOIS 145A'!$C$2:$C$22),""))</f>
        <v/>
      </c>
      <c r="T93" s="4">
        <f>IF(ISNUMBER(S93),S93*(1+IF(Settings!$B$11="Y",0,Settings!$B$10/100))+2*N(Settings!$B$9),"")</f>
        <v/>
      </c>
      <c r="U93">
        <f>IF(ISNUMBER(T93),IF(T93&lt;R93,"Rail","Road"),"")</f>
        <v/>
      </c>
      <c r="V93" s="4">
        <f>IF(ISNUMBER(T93),ABS(R93-T93),"")</f>
        <v/>
      </c>
      <c r="W93">
        <f>IF(OR(ISNUMBER(SEARCH("siding",D93)),ISNUMBER(SEARCH("rcr",D93)),ISNUMBER(SEARCH("rail",D93)),ISNUMBER(SEARCH("wagon",D93))),"Yes - siding/rail in title","Check")</f>
        <v/>
      </c>
      <c r="X93">
        <f>Settings!$B$6</f>
        <v/>
      </c>
    </row>
    <row r="94">
      <c r="A94" t="inlineStr">
        <is>
          <t>B 150-300 km</t>
        </is>
      </c>
      <c r="B94" t="inlineStr">
        <is>
          <t>16036719</t>
        </is>
      </c>
      <c r="C94" t="inlineStr">
        <is>
          <t>GEM/2025/B/7010386</t>
        </is>
      </c>
      <c r="D94" t="inlineStr">
        <is>
          <t>handling service, transport service, handling &amp; transport service, coal extraction, ob removal</t>
        </is>
      </c>
      <c r="E94" t="inlineStr">
        <is>
          <t>Mining services (OB / extraction)</t>
        </is>
      </c>
      <c r="F94" t="inlineStr">
        <is>
          <t>South Eastern Coalfields Limited</t>
        </is>
      </c>
      <c r="G94" t="inlineStr">
        <is>
          <t>Madhya Pradesh</t>
        </is>
      </c>
      <c r="H94" t="inlineStr">
        <is>
          <t>Anuppur</t>
        </is>
      </c>
      <c r="I94" t="inlineStr">
        <is>
          <t>2025-12-26</t>
        </is>
      </c>
      <c r="J94" t="inlineStr">
        <is>
          <t>AOC</t>
        </is>
      </c>
      <c r="K94" t="inlineStr">
        <is>
          <t>Nakul Tiwari</t>
        </is>
      </c>
      <c r="L94" t="inlineStr">
        <is>
          <t>G K Associates</t>
        </is>
      </c>
      <c r="M94" t="inlineStr">
        <is>
          <t>3 named / 3</t>
        </is>
      </c>
      <c r="N94" t="n">
        <v>0.34</v>
      </c>
      <c r="O94" t="n">
        <v>221</v>
      </c>
      <c r="P94">
        <f>MAX(O94,Settings!$B$13)*Settings!$B$7</f>
        <v/>
      </c>
      <c r="Q94">
        <f>MAX(O94,Settings!$B$13)*Settings!$B$8</f>
        <v/>
      </c>
      <c r="R94" s="4">
        <f>MAX(P94*Settings!$B$5,IF(ISNUMBER(Settings!$B$12),Settings!$B$12,0))*(1+IF(Settings!$B$11="Y",0,Settings!$B$10/100))+N(Settings!$B$9)</f>
        <v/>
      </c>
      <c r="S94" s="4">
        <f>IF(Q94&gt;1000,"beyond table",IFERROR(LOOKUP(Q94,'FOIS 145A'!$A$2:$A$22,'FOIS 145A'!$C$2:$C$22),""))</f>
        <v/>
      </c>
      <c r="T94" s="4">
        <f>IF(ISNUMBER(S94),S94*(1+IF(Settings!$B$11="Y",0,Settings!$B$10/100))+2*N(Settings!$B$9),"")</f>
        <v/>
      </c>
      <c r="U94">
        <f>IF(ISNUMBER(T94),IF(T94&lt;R94,"Rail","Road"),"")</f>
        <v/>
      </c>
      <c r="V94" s="4">
        <f>IF(ISNUMBER(T94),ABS(R94-T94),"")</f>
        <v/>
      </c>
      <c r="W94">
        <f>IF(OR(ISNUMBER(SEARCH("siding",D94)),ISNUMBER(SEARCH("rcr",D94)),ISNUMBER(SEARCH("rail",D94)),ISNUMBER(SEARCH("wagon",D94))),"Yes - siding/rail in title","Check")</f>
        <v/>
      </c>
      <c r="X94">
        <f>Settings!$B$6</f>
        <v/>
      </c>
    </row>
    <row r="95">
      <c r="A95" t="inlineStr">
        <is>
          <t>B 150-300 km</t>
        </is>
      </c>
      <c r="B95" t="inlineStr">
        <is>
          <t>14388722</t>
        </is>
      </c>
      <c r="C95" t="inlineStr">
        <is>
          <t>GEM/2025/B/6283165</t>
        </is>
      </c>
      <c r="D95" t="inlineStr">
        <is>
          <t xml:space="preserve">hiring of hemm for composite work includes ob removal in different strata extraction of coal by surface miner loading and transportation of </t>
        </is>
      </c>
      <c r="E95" t="inlineStr">
        <is>
          <t>Mining services (OB / extraction)</t>
        </is>
      </c>
      <c r="F95" t="inlineStr">
        <is>
          <t>South Eastern Coalfields Limited</t>
        </is>
      </c>
      <c r="G95" t="inlineStr">
        <is>
          <t>Madhya Pradesh</t>
        </is>
      </c>
      <c r="H95" t="inlineStr">
        <is>
          <t>Anuppur</t>
        </is>
      </c>
      <c r="I95" t="inlineStr">
        <is>
          <t>2025-07-10</t>
        </is>
      </c>
      <c r="J95" t="inlineStr">
        <is>
          <t>AOC</t>
        </is>
      </c>
      <c r="K95" t="inlineStr">
        <is>
          <t>Jarpl-At Consortium</t>
        </is>
      </c>
      <c r="L95" t="inlineStr">
        <is>
          <t>G K Associates, Godavari Commodities</t>
        </is>
      </c>
      <c r="M95" t="inlineStr">
        <is>
          <t>5 named / 22</t>
        </is>
      </c>
      <c r="N95" t="n">
        <v>3299.51</v>
      </c>
      <c r="O95" t="n">
        <v>221</v>
      </c>
      <c r="P95">
        <f>MAX(O95,Settings!$B$13)*Settings!$B$7</f>
        <v/>
      </c>
      <c r="Q95">
        <f>MAX(O95,Settings!$B$13)*Settings!$B$8</f>
        <v/>
      </c>
      <c r="R95" s="4">
        <f>MAX(P95*Settings!$B$5,IF(ISNUMBER(Settings!$B$12),Settings!$B$12,0))*(1+IF(Settings!$B$11="Y",0,Settings!$B$10/100))+N(Settings!$B$9)</f>
        <v/>
      </c>
      <c r="S95" s="4">
        <f>IF(Q95&gt;1000,"beyond table",IFERROR(LOOKUP(Q95,'FOIS 145A'!$A$2:$A$22,'FOIS 145A'!$C$2:$C$22),""))</f>
        <v/>
      </c>
      <c r="T95" s="4">
        <f>IF(ISNUMBER(S95),S95*(1+IF(Settings!$B$11="Y",0,Settings!$B$10/100))+2*N(Settings!$B$9),"")</f>
        <v/>
      </c>
      <c r="U95">
        <f>IF(ISNUMBER(T95),IF(T95&lt;R95,"Rail","Road"),"")</f>
        <v/>
      </c>
      <c r="V95" s="4">
        <f>IF(ISNUMBER(T95),ABS(R95-T95),"")</f>
        <v/>
      </c>
      <c r="W95">
        <f>IF(OR(ISNUMBER(SEARCH("siding",D95)),ISNUMBER(SEARCH("rcr",D95)),ISNUMBER(SEARCH("rail",D95)),ISNUMBER(SEARCH("wagon",D95))),"Yes - siding/rail in title","Check")</f>
        <v/>
      </c>
      <c r="X95">
        <f>Settings!$B$6</f>
        <v/>
      </c>
    </row>
    <row r="96">
      <c r="A96" t="inlineStr">
        <is>
          <t>B 150-300 km</t>
        </is>
      </c>
      <c r="B96" t="inlineStr">
        <is>
          <t>15296948</t>
        </is>
      </c>
      <c r="C96" t="inlineStr">
        <is>
          <t>GEM/2025/B/6553387</t>
        </is>
      </c>
      <c r="D96" t="inlineStr">
        <is>
          <t>hiring of tipper for trans</t>
        </is>
      </c>
      <c r="E96" t="inlineStr">
        <is>
          <t>Other</t>
        </is>
      </c>
      <c r="F96" t="inlineStr">
        <is>
          <t>South Eastern Coalfields Limited</t>
        </is>
      </c>
      <c r="G96" t="inlineStr">
        <is>
          <t>Madhya Pradesh</t>
        </is>
      </c>
      <c r="H96" t="inlineStr">
        <is>
          <t>Anuppur</t>
        </is>
      </c>
      <c r="I96" t="inlineStr">
        <is>
          <t>2025-08-23</t>
        </is>
      </c>
      <c r="J96" t="inlineStr">
        <is>
          <t>AOC</t>
        </is>
      </c>
      <c r="K96" t="inlineStr">
        <is>
          <t>A Ahmad Contractor</t>
        </is>
      </c>
      <c r="L96" t="inlineStr">
        <is>
          <t>G K Associates</t>
        </is>
      </c>
      <c r="M96" t="inlineStr">
        <is>
          <t>4 named / 4</t>
        </is>
      </c>
      <c r="N96" t="n">
        <v>1.65</v>
      </c>
      <c r="O96" t="n">
        <v>221</v>
      </c>
      <c r="P96">
        <f>MAX(O96,Settings!$B$13)*Settings!$B$7</f>
        <v/>
      </c>
      <c r="Q96">
        <f>MAX(O96,Settings!$B$13)*Settings!$B$8</f>
        <v/>
      </c>
      <c r="R96" s="4">
        <f>MAX(P96*Settings!$B$5,IF(ISNUMBER(Settings!$B$12),Settings!$B$12,0))*(1+IF(Settings!$B$11="Y",0,Settings!$B$10/100))+N(Settings!$B$9)</f>
        <v/>
      </c>
      <c r="S96" s="4">
        <f>IF(Q96&gt;1000,"beyond table",IFERROR(LOOKUP(Q96,'FOIS 145A'!$A$2:$A$22,'FOIS 145A'!$C$2:$C$22),""))</f>
        <v/>
      </c>
      <c r="T96" s="4">
        <f>IF(ISNUMBER(S96),S96*(1+IF(Settings!$B$11="Y",0,Settings!$B$10/100))+2*N(Settings!$B$9),"")</f>
        <v/>
      </c>
      <c r="U96">
        <f>IF(ISNUMBER(T96),IF(T96&lt;R96,"Rail","Road"),"")</f>
        <v/>
      </c>
      <c r="V96" s="4">
        <f>IF(ISNUMBER(T96),ABS(R96-T96),"")</f>
        <v/>
      </c>
      <c r="W96">
        <f>IF(OR(ISNUMBER(SEARCH("siding",D96)),ISNUMBER(SEARCH("rcr",D96)),ISNUMBER(SEARCH("rail",D96)),ISNUMBER(SEARCH("wagon",D96))),"Yes - siding/rail in title","Check")</f>
        <v/>
      </c>
      <c r="X96">
        <f>Settings!$B$6</f>
        <v/>
      </c>
    </row>
    <row r="97">
      <c r="A97" t="inlineStr">
        <is>
          <t>B 150-300 km</t>
        </is>
      </c>
      <c r="B97" t="inlineStr">
        <is>
          <t>15598136</t>
        </is>
      </c>
      <c r="C97" t="inlineStr">
        <is>
          <t>GEM/2025/B/6427383</t>
        </is>
      </c>
      <c r="D97" t="inlineStr">
        <is>
          <t>hiring of tipper for trans</t>
        </is>
      </c>
      <c r="E97" t="inlineStr">
        <is>
          <t>Other</t>
        </is>
      </c>
      <c r="F97" t="inlineStr">
        <is>
          <t>South Eastern Coalfields Limited</t>
        </is>
      </c>
      <c r="G97" t="inlineStr">
        <is>
          <t>Madhya Pradesh</t>
        </is>
      </c>
      <c r="H97" t="inlineStr">
        <is>
          <t>Anuppur</t>
        </is>
      </c>
      <c r="I97" t="inlineStr">
        <is>
          <t>2025-07-25</t>
        </is>
      </c>
      <c r="J97" t="inlineStr">
        <is>
          <t>AOC</t>
        </is>
      </c>
      <c r="K97" t="inlineStr">
        <is>
          <t>Afsar Road Ways</t>
        </is>
      </c>
      <c r="L97" t="inlineStr">
        <is>
          <t>Chandan Kumar Singh</t>
        </is>
      </c>
      <c r="M97" t="inlineStr">
        <is>
          <t>5 named / 9</t>
        </is>
      </c>
      <c r="N97" t="n">
        <v>4.47</v>
      </c>
      <c r="O97" t="n">
        <v>221</v>
      </c>
      <c r="P97">
        <f>MAX(O97,Settings!$B$13)*Settings!$B$7</f>
        <v/>
      </c>
      <c r="Q97">
        <f>MAX(O97,Settings!$B$13)*Settings!$B$8</f>
        <v/>
      </c>
      <c r="R97" s="4">
        <f>MAX(P97*Settings!$B$5,IF(ISNUMBER(Settings!$B$12),Settings!$B$12,0))*(1+IF(Settings!$B$11="Y",0,Settings!$B$10/100))+N(Settings!$B$9)</f>
        <v/>
      </c>
      <c r="S97" s="4">
        <f>IF(Q97&gt;1000,"beyond table",IFERROR(LOOKUP(Q97,'FOIS 145A'!$A$2:$A$22,'FOIS 145A'!$C$2:$C$22),""))</f>
        <v/>
      </c>
      <c r="T97" s="4">
        <f>IF(ISNUMBER(S97),S97*(1+IF(Settings!$B$11="Y",0,Settings!$B$10/100))+2*N(Settings!$B$9),"")</f>
        <v/>
      </c>
      <c r="U97">
        <f>IF(ISNUMBER(T97),IF(T97&lt;R97,"Rail","Road"),"")</f>
        <v/>
      </c>
      <c r="V97" s="4">
        <f>IF(ISNUMBER(T97),ABS(R97-T97),"")</f>
        <v/>
      </c>
      <c r="W97">
        <f>IF(OR(ISNUMBER(SEARCH("siding",D97)),ISNUMBER(SEARCH("rcr",D97)),ISNUMBER(SEARCH("rail",D97)),ISNUMBER(SEARCH("wagon",D97))),"Yes - siding/rail in title","Check")</f>
        <v/>
      </c>
      <c r="X97">
        <f>Settings!$B$6</f>
        <v/>
      </c>
    </row>
    <row r="98">
      <c r="A98" t="inlineStr">
        <is>
          <t>B 150-300 km</t>
        </is>
      </c>
      <c r="B98" t="inlineStr">
        <is>
          <t>14401813</t>
        </is>
      </c>
      <c r="C98" t="inlineStr">
        <is>
          <t>2025_OMFED_114495_1</t>
        </is>
      </c>
      <c r="D98" t="inlineStr">
        <is>
          <t>supply of coal (g-12)</t>
        </is>
      </c>
      <c r="E98" t="inlineStr">
        <is>
          <t>Coal supply</t>
        </is>
      </c>
      <c r="F98" t="inlineStr">
        <is>
          <t>Orissa State Co-Operative Milk Producers Federation Limited</t>
        </is>
      </c>
      <c r="G98" t="inlineStr">
        <is>
          <t>Orissa</t>
        </is>
      </c>
      <c r="H98" t="inlineStr">
        <is>
          <t>Keonjhar</t>
        </is>
      </c>
      <c r="I98" t="inlineStr">
        <is>
          <t>2025-07-07</t>
        </is>
      </c>
      <c r="J98" t="inlineStr">
        <is>
          <t>AOC</t>
        </is>
      </c>
      <c r="K98" t="inlineStr">
        <is>
          <t>M/S Sanjukta Mohanty</t>
        </is>
      </c>
      <c r="L98" t="inlineStr">
        <is>
          <t>Godavari Commodities</t>
        </is>
      </c>
      <c r="M98" t="inlineStr">
        <is>
          <t>3 named / 3</t>
        </is>
      </c>
      <c r="N98" t="n">
        <v>0</v>
      </c>
      <c r="O98" t="n">
        <v>227</v>
      </c>
      <c r="P98">
        <f>MAX(O98,Settings!$B$13)*Settings!$B$7</f>
        <v/>
      </c>
      <c r="Q98">
        <f>MAX(O98,Settings!$B$13)*Settings!$B$8</f>
        <v/>
      </c>
      <c r="R98" s="4">
        <f>MAX(P98*Settings!$B$5,IF(ISNUMBER(Settings!$B$12),Settings!$B$12,0))*(1+IF(Settings!$B$11="Y",0,Settings!$B$10/100))+N(Settings!$B$9)</f>
        <v/>
      </c>
      <c r="S98" s="4">
        <f>IF(Q98&gt;1000,"beyond table",IFERROR(LOOKUP(Q98,'FOIS 145A'!$A$2:$A$22,'FOIS 145A'!$C$2:$C$22),""))</f>
        <v/>
      </c>
      <c r="T98" s="4">
        <f>IF(ISNUMBER(S98),S98*(1+IF(Settings!$B$11="Y",0,Settings!$B$10/100))+2*N(Settings!$B$9),"")</f>
        <v/>
      </c>
      <c r="U98">
        <f>IF(ISNUMBER(T98),IF(T98&lt;R98,"Rail","Road"),"")</f>
        <v/>
      </c>
      <c r="V98" s="4">
        <f>IF(ISNUMBER(T98),ABS(R98-T98),"")</f>
        <v/>
      </c>
      <c r="W98">
        <f>IF(OR(ISNUMBER(SEARCH("siding",D98)),ISNUMBER(SEARCH("rcr",D98)),ISNUMBER(SEARCH("rail",D98)),ISNUMBER(SEARCH("wagon",D98))),"Yes - siding/rail in title","Check")</f>
        <v/>
      </c>
      <c r="X98">
        <f>Settings!$B$6</f>
        <v/>
      </c>
    </row>
    <row r="99">
      <c r="A99" t="inlineStr">
        <is>
          <t>B 150-300 km</t>
        </is>
      </c>
      <c r="B99" t="inlineStr">
        <is>
          <t>17921093</t>
        </is>
      </c>
      <c r="C99" t="inlineStr">
        <is>
          <t>2026_NTPC_110433_1</t>
        </is>
      </c>
      <c r="D99" t="inlineStr">
        <is>
          <t>coal transportation from magadh mine to nkstpp via balumath</t>
        </is>
      </c>
      <c r="E99" t="inlineStr">
        <is>
          <t>Coal transport (road)</t>
        </is>
      </c>
      <c r="F99" t="inlineStr">
        <is>
          <t>National Thermal Power Corporation Limited</t>
        </is>
      </c>
      <c r="G99" t="inlineStr">
        <is>
          <t>Jharkhand</t>
        </is>
      </c>
      <c r="H99" t="inlineStr">
        <is>
          <t>Latehar</t>
        </is>
      </c>
      <c r="I99" t="inlineStr">
        <is>
          <t>2026-08-10</t>
        </is>
      </c>
      <c r="J99" t="inlineStr">
        <is>
          <t>Financial</t>
        </is>
      </c>
      <c r="K99" t="inlineStr">
        <is>
          <t>-</t>
        </is>
      </c>
      <c r="L99" t="inlineStr">
        <is>
          <t>Godavari Commodities, Nkas Services</t>
        </is>
      </c>
      <c r="M99" t="inlineStr">
        <is>
          <t>5 named / 9</t>
        </is>
      </c>
      <c r="O99" t="n">
        <v>234</v>
      </c>
      <c r="P99">
        <f>MAX(O99,Settings!$B$13)*Settings!$B$7</f>
        <v/>
      </c>
      <c r="Q99">
        <f>MAX(O99,Settings!$B$13)*Settings!$B$8</f>
        <v/>
      </c>
      <c r="R99" s="4">
        <f>MAX(P99*Settings!$B$5,IF(ISNUMBER(Settings!$B$12),Settings!$B$12,0))*(1+IF(Settings!$B$11="Y",0,Settings!$B$10/100))+N(Settings!$B$9)</f>
        <v/>
      </c>
      <c r="S99" s="4">
        <f>IF(Q99&gt;1000,"beyond table",IFERROR(LOOKUP(Q99,'FOIS 145A'!$A$2:$A$22,'FOIS 145A'!$C$2:$C$22),""))</f>
        <v/>
      </c>
      <c r="T99" s="4">
        <f>IF(ISNUMBER(S99),S99*(1+IF(Settings!$B$11="Y",0,Settings!$B$10/100))+2*N(Settings!$B$9),"")</f>
        <v/>
      </c>
      <c r="U99">
        <f>IF(ISNUMBER(T99),IF(T99&lt;R99,"Rail","Road"),"")</f>
        <v/>
      </c>
      <c r="V99" s="4">
        <f>IF(ISNUMBER(T99),ABS(R99-T99),"")</f>
        <v/>
      </c>
      <c r="W99">
        <f>IF(OR(ISNUMBER(SEARCH("siding",D99)),ISNUMBER(SEARCH("rcr",D99)),ISNUMBER(SEARCH("rail",D99)),ISNUMBER(SEARCH("wagon",D99))),"Yes - siding/rail in title","Check")</f>
        <v/>
      </c>
      <c r="X99">
        <f>Settings!$B$6</f>
        <v/>
      </c>
    </row>
    <row r="100">
      <c r="A100" t="inlineStr">
        <is>
          <t>B 150-300 km</t>
        </is>
      </c>
      <c r="B100" t="inlineStr">
        <is>
          <t>15520057</t>
        </is>
      </c>
      <c r="C100" t="inlineStr">
        <is>
          <t>GEM/2025/B/6421080</t>
        </is>
      </c>
      <c r="D100" t="inlineStr">
        <is>
          <t>ob removal, coal extractio</t>
        </is>
      </c>
      <c r="E100" t="inlineStr">
        <is>
          <t>Mining services (OB / extraction)</t>
        </is>
      </c>
      <c r="F100" t="inlineStr">
        <is>
          <t>Central Coalfields Limited</t>
        </is>
      </c>
      <c r="G100" t="inlineStr">
        <is>
          <t>Jharkhand</t>
        </is>
      </c>
      <c r="H100" t="inlineStr">
        <is>
          <t>Latehar</t>
        </is>
      </c>
      <c r="I100" t="inlineStr">
        <is>
          <t>2025-08-19</t>
        </is>
      </c>
      <c r="J100" t="inlineStr">
        <is>
          <t>Financial</t>
        </is>
      </c>
      <c r="K100" t="inlineStr">
        <is>
          <t>-</t>
        </is>
      </c>
      <c r="L100" t="inlineStr"/>
      <c r="M100" t="inlineStr">
        <is>
          <t>5 named / 20</t>
        </is>
      </c>
      <c r="O100" t="n">
        <v>234</v>
      </c>
      <c r="P100">
        <f>MAX(O100,Settings!$B$13)*Settings!$B$7</f>
        <v/>
      </c>
      <c r="Q100">
        <f>MAX(O100,Settings!$B$13)*Settings!$B$8</f>
        <v/>
      </c>
      <c r="R100" s="4">
        <f>MAX(P100*Settings!$B$5,IF(ISNUMBER(Settings!$B$12),Settings!$B$12,0))*(1+IF(Settings!$B$11="Y",0,Settings!$B$10/100))+N(Settings!$B$9)</f>
        <v/>
      </c>
      <c r="S100" s="4">
        <f>IF(Q100&gt;1000,"beyond table",IFERROR(LOOKUP(Q100,'FOIS 145A'!$A$2:$A$22,'FOIS 145A'!$C$2:$C$22),""))</f>
        <v/>
      </c>
      <c r="T100" s="4">
        <f>IF(ISNUMBER(S100),S100*(1+IF(Settings!$B$11="Y",0,Settings!$B$10/100))+2*N(Settings!$B$9),"")</f>
        <v/>
      </c>
      <c r="U100">
        <f>IF(ISNUMBER(T100),IF(T100&lt;R100,"Rail","Road"),"")</f>
        <v/>
      </c>
      <c r="V100" s="4">
        <f>IF(ISNUMBER(T100),ABS(R100-T100),"")</f>
        <v/>
      </c>
      <c r="W100">
        <f>IF(OR(ISNUMBER(SEARCH("siding",D100)),ISNUMBER(SEARCH("rcr",D100)),ISNUMBER(SEARCH("rail",D100)),ISNUMBER(SEARCH("wagon",D100))),"Yes - siding/rail in title","Check")</f>
        <v/>
      </c>
      <c r="X100">
        <f>Settings!$B$6</f>
        <v/>
      </c>
    </row>
    <row r="101">
      <c r="A101" t="inlineStr">
        <is>
          <t>B 150-300 km</t>
        </is>
      </c>
      <c r="B101" t="inlineStr">
        <is>
          <t>18445394</t>
        </is>
      </c>
      <c r="C101" t="inlineStr">
        <is>
          <t>GEM/2026/B/8001162</t>
        </is>
      </c>
      <c r="D101" t="inlineStr">
        <is>
          <t>handling &amp; transport service, loading and transportation of coal of from surface coal stockyards of amrapali ocp to shivpur siding, line no.</t>
        </is>
      </c>
      <c r="E101" t="inlineStr">
        <is>
          <t>Coal transport (RCR / siding)</t>
        </is>
      </c>
      <c r="F101" t="inlineStr">
        <is>
          <t>Central Coalfields Limited</t>
        </is>
      </c>
      <c r="G101" t="inlineStr">
        <is>
          <t>Jharkhand</t>
        </is>
      </c>
      <c r="H101" t="inlineStr">
        <is>
          <t>Ranchi</t>
        </is>
      </c>
      <c r="I101" t="inlineStr">
        <is>
          <t>2026-09-21</t>
        </is>
      </c>
      <c r="J101" t="inlineStr">
        <is>
          <t>Financial</t>
        </is>
      </c>
      <c r="K101" t="inlineStr">
        <is>
          <t>-</t>
        </is>
      </c>
      <c r="L101" t="inlineStr"/>
      <c r="M101" t="inlineStr">
        <is>
          <t>4 named / 4</t>
        </is>
      </c>
      <c r="O101" t="n">
        <v>253</v>
      </c>
      <c r="P101">
        <f>MAX(O101,Settings!$B$13)*Settings!$B$7</f>
        <v/>
      </c>
      <c r="Q101">
        <f>MAX(O101,Settings!$B$13)*Settings!$B$8</f>
        <v/>
      </c>
      <c r="R101" s="4">
        <f>MAX(P101*Settings!$B$5,IF(ISNUMBER(Settings!$B$12),Settings!$B$12,0))*(1+IF(Settings!$B$11="Y",0,Settings!$B$10/100))+N(Settings!$B$9)</f>
        <v/>
      </c>
      <c r="S101" s="4">
        <f>IF(Q101&gt;1000,"beyond table",IFERROR(LOOKUP(Q101,'FOIS 145A'!$A$2:$A$22,'FOIS 145A'!$C$2:$C$22),""))</f>
        <v/>
      </c>
      <c r="T101" s="4">
        <f>IF(ISNUMBER(S101),S101*(1+IF(Settings!$B$11="Y",0,Settings!$B$10/100))+2*N(Settings!$B$9),"")</f>
        <v/>
      </c>
      <c r="U101">
        <f>IF(ISNUMBER(T101),IF(T101&lt;R101,"Rail","Road"),"")</f>
        <v/>
      </c>
      <c r="V101" s="4">
        <f>IF(ISNUMBER(T101),ABS(R101-T101),"")</f>
        <v/>
      </c>
      <c r="W101">
        <f>IF(OR(ISNUMBER(SEARCH("siding",D101)),ISNUMBER(SEARCH("rcr",D101)),ISNUMBER(SEARCH("rail",D101)),ISNUMBER(SEARCH("wagon",D101))),"Yes - siding/rail in title","Check")</f>
        <v/>
      </c>
      <c r="X101">
        <f>Settings!$B$6</f>
        <v/>
      </c>
    </row>
    <row r="102">
      <c r="A102" t="inlineStr">
        <is>
          <t>B 150-300 km</t>
        </is>
      </c>
      <c r="B102" t="inlineStr">
        <is>
          <t>18387034</t>
        </is>
      </c>
      <c r="C102" t="inlineStr">
        <is>
          <t>GEM/2026/B/7910846</t>
        </is>
      </c>
      <c r="D102" t="inlineStr">
        <is>
          <t>handling &amp; transport service, loading of coal from surface coal stock yards of chandragupt ocp and transportation of the same to rajdhar rai</t>
        </is>
      </c>
      <c r="E102" t="inlineStr">
        <is>
          <t>Coal transport (RCR / siding)</t>
        </is>
      </c>
      <c r="F102" t="inlineStr">
        <is>
          <t>Central Coalfields Limited</t>
        </is>
      </c>
      <c r="G102" t="inlineStr">
        <is>
          <t>Jharkhand</t>
        </is>
      </c>
      <c r="H102" t="inlineStr">
        <is>
          <t>Ranchi</t>
        </is>
      </c>
      <c r="I102" t="inlineStr">
        <is>
          <t>2026-08-27</t>
        </is>
      </c>
      <c r="J102" t="inlineStr">
        <is>
          <t>Financial</t>
        </is>
      </c>
      <c r="K102" t="inlineStr">
        <is>
          <t>-</t>
        </is>
      </c>
      <c r="L102" t="inlineStr"/>
      <c r="M102" t="inlineStr">
        <is>
          <t>5 named / 15</t>
        </is>
      </c>
      <c r="O102" t="n">
        <v>253</v>
      </c>
      <c r="P102">
        <f>MAX(O102,Settings!$B$13)*Settings!$B$7</f>
        <v/>
      </c>
      <c r="Q102">
        <f>MAX(O102,Settings!$B$13)*Settings!$B$8</f>
        <v/>
      </c>
      <c r="R102" s="4">
        <f>MAX(P102*Settings!$B$5,IF(ISNUMBER(Settings!$B$12),Settings!$B$12,0))*(1+IF(Settings!$B$11="Y",0,Settings!$B$10/100))+N(Settings!$B$9)</f>
        <v/>
      </c>
      <c r="S102" s="4">
        <f>IF(Q102&gt;1000,"beyond table",IFERROR(LOOKUP(Q102,'FOIS 145A'!$A$2:$A$22,'FOIS 145A'!$C$2:$C$22),""))</f>
        <v/>
      </c>
      <c r="T102" s="4">
        <f>IF(ISNUMBER(S102),S102*(1+IF(Settings!$B$11="Y",0,Settings!$B$10/100))+2*N(Settings!$B$9),"")</f>
        <v/>
      </c>
      <c r="U102">
        <f>IF(ISNUMBER(T102),IF(T102&lt;R102,"Rail","Road"),"")</f>
        <v/>
      </c>
      <c r="V102" s="4">
        <f>IF(ISNUMBER(T102),ABS(R102-T102),"")</f>
        <v/>
      </c>
      <c r="W102">
        <f>IF(OR(ISNUMBER(SEARCH("siding",D102)),ISNUMBER(SEARCH("rcr",D102)),ISNUMBER(SEARCH("rail",D102)),ISNUMBER(SEARCH("wagon",D102))),"Yes - siding/rail in title","Check")</f>
        <v/>
      </c>
      <c r="X102">
        <f>Settings!$B$6</f>
        <v/>
      </c>
    </row>
    <row r="103">
      <c r="A103" t="inlineStr">
        <is>
          <t>B 150-300 km</t>
        </is>
      </c>
      <c r="B103" t="inlineStr">
        <is>
          <t>18193766</t>
        </is>
      </c>
      <c r="C103" t="inlineStr">
        <is>
          <t>GEM/2026/B/7820371</t>
        </is>
      </c>
      <c r="D103" t="inlineStr">
        <is>
          <t xml:space="preserve">handling &amp; transport service, loading and transportation of coal from surface coal stockyards of amrapali ocp to shivpur siding and loading </t>
        </is>
      </c>
      <c r="E103" t="inlineStr">
        <is>
          <t>Coal transport (RCR / siding)</t>
        </is>
      </c>
      <c r="F103" t="inlineStr">
        <is>
          <t>Central Coalfields Limited</t>
        </is>
      </c>
      <c r="G103" t="inlineStr">
        <is>
          <t>Jharkhand</t>
        </is>
      </c>
      <c r="H103" t="inlineStr">
        <is>
          <t>Ranchi</t>
        </is>
      </c>
      <c r="I103" t="inlineStr">
        <is>
          <t>2026-08-12</t>
        </is>
      </c>
      <c r="J103" t="inlineStr">
        <is>
          <t>AOC</t>
        </is>
      </c>
      <c r="K103" t="inlineStr">
        <is>
          <t>Jagshobha Logistics Llp</t>
        </is>
      </c>
      <c r="L103" t="inlineStr"/>
      <c r="M103" t="inlineStr">
        <is>
          <t>5 named / 8</t>
        </is>
      </c>
      <c r="N103" t="n">
        <v>2.8</v>
      </c>
      <c r="O103" t="n">
        <v>253</v>
      </c>
      <c r="P103">
        <f>MAX(O103,Settings!$B$13)*Settings!$B$7</f>
        <v/>
      </c>
      <c r="Q103">
        <f>MAX(O103,Settings!$B$13)*Settings!$B$8</f>
        <v/>
      </c>
      <c r="R103" s="4">
        <f>MAX(P103*Settings!$B$5,IF(ISNUMBER(Settings!$B$12),Settings!$B$12,0))*(1+IF(Settings!$B$11="Y",0,Settings!$B$10/100))+N(Settings!$B$9)</f>
        <v/>
      </c>
      <c r="S103" s="4">
        <f>IF(Q103&gt;1000,"beyond table",IFERROR(LOOKUP(Q103,'FOIS 145A'!$A$2:$A$22,'FOIS 145A'!$C$2:$C$22),""))</f>
        <v/>
      </c>
      <c r="T103" s="4">
        <f>IF(ISNUMBER(S103),S103*(1+IF(Settings!$B$11="Y",0,Settings!$B$10/100))+2*N(Settings!$B$9),"")</f>
        <v/>
      </c>
      <c r="U103">
        <f>IF(ISNUMBER(T103),IF(T103&lt;R103,"Rail","Road"),"")</f>
        <v/>
      </c>
      <c r="V103" s="4">
        <f>IF(ISNUMBER(T103),ABS(R103-T103),"")</f>
        <v/>
      </c>
      <c r="W103">
        <f>IF(OR(ISNUMBER(SEARCH("siding",D103)),ISNUMBER(SEARCH("rcr",D103)),ISNUMBER(SEARCH("rail",D103)),ISNUMBER(SEARCH("wagon",D103))),"Yes - siding/rail in title","Check")</f>
        <v/>
      </c>
      <c r="X103">
        <f>Settings!$B$6</f>
        <v/>
      </c>
    </row>
    <row r="104">
      <c r="A104" t="inlineStr">
        <is>
          <t>B 150-300 km</t>
        </is>
      </c>
      <c r="B104" t="inlineStr">
        <is>
          <t>17357246</t>
        </is>
      </c>
      <c r="C104" t="inlineStr">
        <is>
          <t>GEM/2026/B/7510384</t>
        </is>
      </c>
      <c r="D104" t="inlineStr">
        <is>
          <t>loading &amp; transportation by contractor’s payloaders and tippers for 5.00 l te. rom coal from surface stock of karo ocp, b&amp;k area to f/b of j</t>
        </is>
      </c>
      <c r="E104" t="inlineStr">
        <is>
          <t>Coal transport (RCR / siding)</t>
        </is>
      </c>
      <c r="F104" t="inlineStr">
        <is>
          <t>Central Coalfields Limited</t>
        </is>
      </c>
      <c r="G104" t="inlineStr">
        <is>
          <t>Jharkhand</t>
        </is>
      </c>
      <c r="H104" t="inlineStr">
        <is>
          <t>Ranchi</t>
        </is>
      </c>
      <c r="I104" t="inlineStr">
        <is>
          <t>2026-05-21</t>
        </is>
      </c>
      <c r="J104" t="inlineStr">
        <is>
          <t>AOC</t>
        </is>
      </c>
      <c r="K104" t="inlineStr">
        <is>
          <t>Shri Shyam Transport Co</t>
        </is>
      </c>
      <c r="L104" t="inlineStr"/>
      <c r="M104" t="inlineStr">
        <is>
          <t>5 named / 6</t>
        </is>
      </c>
      <c r="N104" t="n">
        <v>6.58</v>
      </c>
      <c r="O104" t="n">
        <v>253</v>
      </c>
      <c r="P104">
        <f>MAX(O104,Settings!$B$13)*Settings!$B$7</f>
        <v/>
      </c>
      <c r="Q104">
        <f>MAX(O104,Settings!$B$13)*Settings!$B$8</f>
        <v/>
      </c>
      <c r="R104" s="4">
        <f>MAX(P104*Settings!$B$5,IF(ISNUMBER(Settings!$B$12),Settings!$B$12,0))*(1+IF(Settings!$B$11="Y",0,Settings!$B$10/100))+N(Settings!$B$9)</f>
        <v/>
      </c>
      <c r="S104" s="4">
        <f>IF(Q104&gt;1000,"beyond table",IFERROR(LOOKUP(Q104,'FOIS 145A'!$A$2:$A$22,'FOIS 145A'!$C$2:$C$22),""))</f>
        <v/>
      </c>
      <c r="T104" s="4">
        <f>IF(ISNUMBER(S104),S104*(1+IF(Settings!$B$11="Y",0,Settings!$B$10/100))+2*N(Settings!$B$9),"")</f>
        <v/>
      </c>
      <c r="U104">
        <f>IF(ISNUMBER(T104),IF(T104&lt;R104,"Rail","Road"),"")</f>
        <v/>
      </c>
      <c r="V104" s="4">
        <f>IF(ISNUMBER(T104),ABS(R104-T104),"")</f>
        <v/>
      </c>
      <c r="W104">
        <f>IF(OR(ISNUMBER(SEARCH("siding",D104)),ISNUMBER(SEARCH("rcr",D104)),ISNUMBER(SEARCH("rail",D104)),ISNUMBER(SEARCH("wagon",D104))),"Yes - siding/rail in title","Check")</f>
        <v/>
      </c>
      <c r="X104">
        <f>Settings!$B$6</f>
        <v/>
      </c>
    </row>
    <row r="105">
      <c r="A105" t="inlineStr">
        <is>
          <t>B 150-300 km</t>
        </is>
      </c>
      <c r="B105" t="inlineStr">
        <is>
          <t>16881646</t>
        </is>
      </c>
      <c r="C105" t="inlineStr">
        <is>
          <t>GEM/2026/B/7256215</t>
        </is>
      </c>
      <c r="D105" t="inlineStr">
        <is>
          <t>handling &amp; transport service, loading and transportation of 30,000 te of coal per day from surface coal stock yards of amrapali ocp to shivp</t>
        </is>
      </c>
      <c r="E105" t="inlineStr">
        <is>
          <t>Coal transport (RCR / siding)</t>
        </is>
      </c>
      <c r="F105" t="inlineStr">
        <is>
          <t>Central Coalfields Limited</t>
        </is>
      </c>
      <c r="G105" t="inlineStr">
        <is>
          <t>Jharkhand</t>
        </is>
      </c>
      <c r="H105" t="inlineStr">
        <is>
          <t>Ranchi</t>
        </is>
      </c>
      <c r="I105" t="inlineStr">
        <is>
          <t>2026-03-05</t>
        </is>
      </c>
      <c r="J105" t="inlineStr">
        <is>
          <t>AOC</t>
        </is>
      </c>
      <c r="K105" t="inlineStr">
        <is>
          <t>Variant Commercial Private Limited</t>
        </is>
      </c>
      <c r="L105" t="inlineStr">
        <is>
          <t>Godavari Commodities</t>
        </is>
      </c>
      <c r="M105" t="inlineStr">
        <is>
          <t>5 named / 13</t>
        </is>
      </c>
      <c r="N105" t="n">
        <v>101.06</v>
      </c>
      <c r="O105" t="n">
        <v>253</v>
      </c>
      <c r="P105">
        <f>MAX(O105,Settings!$B$13)*Settings!$B$7</f>
        <v/>
      </c>
      <c r="Q105">
        <f>MAX(O105,Settings!$B$13)*Settings!$B$8</f>
        <v/>
      </c>
      <c r="R105" s="4">
        <f>MAX(P105*Settings!$B$5,IF(ISNUMBER(Settings!$B$12),Settings!$B$12,0))*(1+IF(Settings!$B$11="Y",0,Settings!$B$10/100))+N(Settings!$B$9)</f>
        <v/>
      </c>
      <c r="S105" s="4">
        <f>IF(Q105&gt;1000,"beyond table",IFERROR(LOOKUP(Q105,'FOIS 145A'!$A$2:$A$22,'FOIS 145A'!$C$2:$C$22),""))</f>
        <v/>
      </c>
      <c r="T105" s="4">
        <f>IF(ISNUMBER(S105),S105*(1+IF(Settings!$B$11="Y",0,Settings!$B$10/100))+2*N(Settings!$B$9),"")</f>
        <v/>
      </c>
      <c r="U105">
        <f>IF(ISNUMBER(T105),IF(T105&lt;R105,"Rail","Road"),"")</f>
        <v/>
      </c>
      <c r="V105" s="4">
        <f>IF(ISNUMBER(T105),ABS(R105-T105),"")</f>
        <v/>
      </c>
      <c r="W105">
        <f>IF(OR(ISNUMBER(SEARCH("siding",D105)),ISNUMBER(SEARCH("rcr",D105)),ISNUMBER(SEARCH("rail",D105)),ISNUMBER(SEARCH("wagon",D105))),"Yes - siding/rail in title","Check")</f>
        <v/>
      </c>
      <c r="X105">
        <f>Settings!$B$6</f>
        <v/>
      </c>
    </row>
    <row r="106">
      <c r="A106" t="inlineStr">
        <is>
          <t>B 150-300 km</t>
        </is>
      </c>
      <c r="B106" t="inlineStr">
        <is>
          <t>16981574</t>
        </is>
      </c>
      <c r="C106" t="inlineStr">
        <is>
          <t>GEM/2025/B/6973833</t>
        </is>
      </c>
      <c r="D106" t="inlineStr">
        <is>
          <t>feeding of rom coal, crushing through mobile crusher, loading, and transporting (-)100 mm sized coal (in all dimensions) for quantity 12.0 l</t>
        </is>
      </c>
      <c r="E106" t="inlineStr">
        <is>
          <t>Coal transport (RCR / siding)</t>
        </is>
      </c>
      <c r="F106" t="inlineStr">
        <is>
          <t>Central Coalfields Limited</t>
        </is>
      </c>
      <c r="G106" t="inlineStr">
        <is>
          <t>Jharkhand</t>
        </is>
      </c>
      <c r="H106" t="inlineStr">
        <is>
          <t>Ranchi</t>
        </is>
      </c>
      <c r="I106" t="inlineStr">
        <is>
          <t>2025-12-22</t>
        </is>
      </c>
      <c r="J106" t="inlineStr">
        <is>
          <t>AOC</t>
        </is>
      </c>
      <c r="K106" t="inlineStr">
        <is>
          <t>Shai Transporter</t>
        </is>
      </c>
      <c r="L106" t="inlineStr"/>
      <c r="M106" t="inlineStr">
        <is>
          <t>5 named / 14</t>
        </is>
      </c>
      <c r="N106" t="n">
        <v>19.85</v>
      </c>
      <c r="O106" t="n">
        <v>253</v>
      </c>
      <c r="P106">
        <f>MAX(O106,Settings!$B$13)*Settings!$B$7</f>
        <v/>
      </c>
      <c r="Q106">
        <f>MAX(O106,Settings!$B$13)*Settings!$B$8</f>
        <v/>
      </c>
      <c r="R106" s="4">
        <f>MAX(P106*Settings!$B$5,IF(ISNUMBER(Settings!$B$12),Settings!$B$12,0))*(1+IF(Settings!$B$11="Y",0,Settings!$B$10/100))+N(Settings!$B$9)</f>
        <v/>
      </c>
      <c r="S106" s="4">
        <f>IF(Q106&gt;1000,"beyond table",IFERROR(LOOKUP(Q106,'FOIS 145A'!$A$2:$A$22,'FOIS 145A'!$C$2:$C$22),""))</f>
        <v/>
      </c>
      <c r="T106" s="4">
        <f>IF(ISNUMBER(S106),S106*(1+IF(Settings!$B$11="Y",0,Settings!$B$10/100))+2*N(Settings!$B$9),"")</f>
        <v/>
      </c>
      <c r="U106">
        <f>IF(ISNUMBER(T106),IF(T106&lt;R106,"Rail","Road"),"")</f>
        <v/>
      </c>
      <c r="V106" s="4">
        <f>IF(ISNUMBER(T106),ABS(R106-T106),"")</f>
        <v/>
      </c>
      <c r="W106">
        <f>IF(OR(ISNUMBER(SEARCH("siding",D106)),ISNUMBER(SEARCH("rcr",D106)),ISNUMBER(SEARCH("rail",D106)),ISNUMBER(SEARCH("wagon",D106))),"Yes - siding/rail in title","Check")</f>
        <v/>
      </c>
      <c r="X106">
        <f>Settings!$B$6</f>
        <v/>
      </c>
    </row>
    <row r="107">
      <c r="A107" t="inlineStr">
        <is>
          <t>B 150-300 km</t>
        </is>
      </c>
      <c r="B107" t="inlineStr">
        <is>
          <t>14052202</t>
        </is>
      </c>
      <c r="C107" t="inlineStr">
        <is>
          <t>GEM/2025/B/6282173</t>
        </is>
      </c>
      <c r="D107" t="inlineStr">
        <is>
          <t>dispatch of coal through rls system for a period of 5 months</t>
        </is>
      </c>
      <c r="E107" t="inlineStr">
        <is>
          <t>Coal transport (RCR / siding)</t>
        </is>
      </c>
      <c r="F107" t="inlineStr">
        <is>
          <t>National Thermal Power Corporation Limited</t>
        </is>
      </c>
      <c r="G107" t="inlineStr">
        <is>
          <t>Jharkhand</t>
        </is>
      </c>
      <c r="H107" t="inlineStr">
        <is>
          <t>Ranchi</t>
        </is>
      </c>
      <c r="I107" t="inlineStr">
        <is>
          <t>2025-06-07</t>
        </is>
      </c>
      <c r="J107" t="inlineStr">
        <is>
          <t>AOC</t>
        </is>
      </c>
      <c r="K107" t="inlineStr">
        <is>
          <t>Thriveni Earthmovers Private Limited</t>
        </is>
      </c>
      <c r="L107" t="inlineStr">
        <is>
          <t>Godavari Commodities, Sangita Sales</t>
        </is>
      </c>
      <c r="M107" t="inlineStr">
        <is>
          <t>5 named / 5</t>
        </is>
      </c>
      <c r="N107" t="n">
        <v>3.98</v>
      </c>
      <c r="O107" t="n">
        <v>253</v>
      </c>
      <c r="P107">
        <f>MAX(O107,Settings!$B$13)*Settings!$B$7</f>
        <v/>
      </c>
      <c r="Q107">
        <f>MAX(O107,Settings!$B$13)*Settings!$B$8</f>
        <v/>
      </c>
      <c r="R107" s="4">
        <f>MAX(P107*Settings!$B$5,IF(ISNUMBER(Settings!$B$12),Settings!$B$12,0))*(1+IF(Settings!$B$11="Y",0,Settings!$B$10/100))+N(Settings!$B$9)</f>
        <v/>
      </c>
      <c r="S107" s="4">
        <f>IF(Q107&gt;1000,"beyond table",IFERROR(LOOKUP(Q107,'FOIS 145A'!$A$2:$A$22,'FOIS 145A'!$C$2:$C$22),""))</f>
        <v/>
      </c>
      <c r="T107" s="4">
        <f>IF(ISNUMBER(S107),S107*(1+IF(Settings!$B$11="Y",0,Settings!$B$10/100))+2*N(Settings!$B$9),"")</f>
        <v/>
      </c>
      <c r="U107">
        <f>IF(ISNUMBER(T107),IF(T107&lt;R107,"Rail","Road"),"")</f>
        <v/>
      </c>
      <c r="V107" s="4">
        <f>IF(ISNUMBER(T107),ABS(R107-T107),"")</f>
        <v/>
      </c>
      <c r="W107">
        <f>IF(OR(ISNUMBER(SEARCH("siding",D107)),ISNUMBER(SEARCH("rcr",D107)),ISNUMBER(SEARCH("rail",D107)),ISNUMBER(SEARCH("wagon",D107))),"Yes - siding/rail in title","Check")</f>
        <v/>
      </c>
      <c r="X107">
        <f>Settings!$B$6</f>
        <v/>
      </c>
    </row>
    <row r="108">
      <c r="A108" t="inlineStr">
        <is>
          <t>B 150-300 km</t>
        </is>
      </c>
      <c r="B108" t="inlineStr">
        <is>
          <t>12576050</t>
        </is>
      </c>
      <c r="C108" t="inlineStr">
        <is>
          <t>GEM/2024/B/5735597</t>
        </is>
      </c>
      <c r="D108" t="inlineStr">
        <is>
          <t>dispatch of coal through rls system at banadag railway siding of pakri ba</t>
        </is>
      </c>
      <c r="E108" t="inlineStr">
        <is>
          <t>Coal transport (RCR / siding)</t>
        </is>
      </c>
      <c r="F108" t="inlineStr">
        <is>
          <t>National Thermal Power Corporation Limited</t>
        </is>
      </c>
      <c r="G108" t="inlineStr">
        <is>
          <t>Jharkhand</t>
        </is>
      </c>
      <c r="H108" t="inlineStr">
        <is>
          <t>Ranchi</t>
        </is>
      </c>
      <c r="I108" t="inlineStr">
        <is>
          <t>2025-01-17</t>
        </is>
      </c>
      <c r="J108" t="inlineStr">
        <is>
          <t>AOC</t>
        </is>
      </c>
      <c r="K108" t="inlineStr">
        <is>
          <t>Jainandani Commodities Private Limited</t>
        </is>
      </c>
      <c r="L108" t="inlineStr">
        <is>
          <t>Godavari Commodities</t>
        </is>
      </c>
      <c r="M108" t="inlineStr">
        <is>
          <t>5 named / 15</t>
        </is>
      </c>
      <c r="N108" t="n">
        <v>17.01</v>
      </c>
      <c r="O108" t="n">
        <v>253</v>
      </c>
      <c r="P108">
        <f>MAX(O108,Settings!$B$13)*Settings!$B$7</f>
        <v/>
      </c>
      <c r="Q108">
        <f>MAX(O108,Settings!$B$13)*Settings!$B$8</f>
        <v/>
      </c>
      <c r="R108" s="4">
        <f>MAX(P108*Settings!$B$5,IF(ISNUMBER(Settings!$B$12),Settings!$B$12,0))*(1+IF(Settings!$B$11="Y",0,Settings!$B$10/100))+N(Settings!$B$9)</f>
        <v/>
      </c>
      <c r="S108" s="4">
        <f>IF(Q108&gt;1000,"beyond table",IFERROR(LOOKUP(Q108,'FOIS 145A'!$A$2:$A$22,'FOIS 145A'!$C$2:$C$22),""))</f>
        <v/>
      </c>
      <c r="T108" s="4">
        <f>IF(ISNUMBER(S108),S108*(1+IF(Settings!$B$11="Y",0,Settings!$B$10/100))+2*N(Settings!$B$9),"")</f>
        <v/>
      </c>
      <c r="U108">
        <f>IF(ISNUMBER(T108),IF(T108&lt;R108,"Rail","Road"),"")</f>
        <v/>
      </c>
      <c r="V108" s="4">
        <f>IF(ISNUMBER(T108),ABS(R108-T108),"")</f>
        <v/>
      </c>
      <c r="W108">
        <f>IF(OR(ISNUMBER(SEARCH("siding",D108)),ISNUMBER(SEARCH("rcr",D108)),ISNUMBER(SEARCH("rail",D108)),ISNUMBER(SEARCH("wagon",D108))),"Yes - siding/rail in title","Check")</f>
        <v/>
      </c>
      <c r="X108">
        <f>Settings!$B$6</f>
        <v/>
      </c>
    </row>
    <row r="109">
      <c r="A109" t="inlineStr">
        <is>
          <t>B 150-300 km</t>
        </is>
      </c>
      <c r="B109" t="inlineStr">
        <is>
          <t>16901294</t>
        </is>
      </c>
      <c r="C109" t="inlineStr">
        <is>
          <t>GEM/2025/B/6996994</t>
        </is>
      </c>
      <c r="D109" t="inlineStr">
        <is>
          <t>loading and transportation of coal from the surface coal stock yard of amrapali ocp to chp-cpp-piparwar via w/b no. 18 check post no. 3, alo</t>
        </is>
      </c>
      <c r="E109" t="inlineStr">
        <is>
          <t>Coal transport (road)</t>
        </is>
      </c>
      <c r="F109" t="inlineStr">
        <is>
          <t>Central Coalfields Limited</t>
        </is>
      </c>
      <c r="G109" t="inlineStr">
        <is>
          <t>Jharkhand</t>
        </is>
      </c>
      <c r="H109" t="inlineStr">
        <is>
          <t>Ranchi</t>
        </is>
      </c>
      <c r="I109" t="inlineStr">
        <is>
          <t>2025-12-27</t>
        </is>
      </c>
      <c r="J109" t="inlineStr">
        <is>
          <t>AOC</t>
        </is>
      </c>
      <c r="K109" t="inlineStr">
        <is>
          <t>Jtpl Sipl Jv</t>
        </is>
      </c>
      <c r="L109" t="inlineStr">
        <is>
          <t>Nkas Services</t>
        </is>
      </c>
      <c r="M109" t="inlineStr">
        <is>
          <t>5 named / 13</t>
        </is>
      </c>
      <c r="N109" t="n">
        <v>250.1</v>
      </c>
      <c r="O109" t="n">
        <v>253</v>
      </c>
      <c r="P109">
        <f>MAX(O109,Settings!$B$13)*Settings!$B$7</f>
        <v/>
      </c>
      <c r="Q109">
        <f>MAX(O109,Settings!$B$13)*Settings!$B$8</f>
        <v/>
      </c>
      <c r="R109" s="4">
        <f>MAX(P109*Settings!$B$5,IF(ISNUMBER(Settings!$B$12),Settings!$B$12,0))*(1+IF(Settings!$B$11="Y",0,Settings!$B$10/100))+N(Settings!$B$9)</f>
        <v/>
      </c>
      <c r="S109" s="4">
        <f>IF(Q109&gt;1000,"beyond table",IFERROR(LOOKUP(Q109,'FOIS 145A'!$A$2:$A$22,'FOIS 145A'!$C$2:$C$22),""))</f>
        <v/>
      </c>
      <c r="T109" s="4">
        <f>IF(ISNUMBER(S109),S109*(1+IF(Settings!$B$11="Y",0,Settings!$B$10/100))+2*N(Settings!$B$9),"")</f>
        <v/>
      </c>
      <c r="U109">
        <f>IF(ISNUMBER(T109),IF(T109&lt;R109,"Rail","Road"),"")</f>
        <v/>
      </c>
      <c r="V109" s="4">
        <f>IF(ISNUMBER(T109),ABS(R109-T109),"")</f>
        <v/>
      </c>
      <c r="W109">
        <f>IF(OR(ISNUMBER(SEARCH("siding",D109)),ISNUMBER(SEARCH("rcr",D109)),ISNUMBER(SEARCH("rail",D109)),ISNUMBER(SEARCH("wagon",D109))),"Yes - siding/rail in title","Check")</f>
        <v/>
      </c>
      <c r="X109">
        <f>Settings!$B$6</f>
        <v/>
      </c>
    </row>
    <row r="110">
      <c r="A110" t="inlineStr">
        <is>
          <t>B 150-300 km</t>
        </is>
      </c>
      <c r="B110" t="inlineStr">
        <is>
          <t>14890517</t>
        </is>
      </c>
      <c r="C110" t="inlineStr">
        <is>
          <t>GEM/2025/B/6442759</t>
        </is>
      </c>
      <c r="D110" t="inlineStr">
        <is>
          <t>handling &amp; transport servi</t>
        </is>
      </c>
      <c r="E110" t="inlineStr">
        <is>
          <t>Coal transport (road)</t>
        </is>
      </c>
      <c r="F110" t="inlineStr">
        <is>
          <t>Central Coalfields Limited</t>
        </is>
      </c>
      <c r="G110" t="inlineStr">
        <is>
          <t>Jharkhand</t>
        </is>
      </c>
      <c r="H110" t="inlineStr">
        <is>
          <t>Ranchi</t>
        </is>
      </c>
      <c r="I110" t="inlineStr">
        <is>
          <t>2025-07-26</t>
        </is>
      </c>
      <c r="J110" t="inlineStr">
        <is>
          <t>AOC</t>
        </is>
      </c>
      <c r="K110" t="inlineStr">
        <is>
          <t>Ra Petrochemicals Private Limited</t>
        </is>
      </c>
      <c r="L110" t="inlineStr">
        <is>
          <t>United Coal Carriers</t>
        </is>
      </c>
      <c r="M110" t="inlineStr">
        <is>
          <t>5 named / 9</t>
        </is>
      </c>
      <c r="N110" t="n">
        <v>6.49</v>
      </c>
      <c r="O110" t="n">
        <v>253</v>
      </c>
      <c r="P110">
        <f>MAX(O110,Settings!$B$13)*Settings!$B$7</f>
        <v/>
      </c>
      <c r="Q110">
        <f>MAX(O110,Settings!$B$13)*Settings!$B$8</f>
        <v/>
      </c>
      <c r="R110" s="4">
        <f>MAX(P110*Settings!$B$5,IF(ISNUMBER(Settings!$B$12),Settings!$B$12,0))*(1+IF(Settings!$B$11="Y",0,Settings!$B$10/100))+N(Settings!$B$9)</f>
        <v/>
      </c>
      <c r="S110" s="4">
        <f>IF(Q110&gt;1000,"beyond table",IFERROR(LOOKUP(Q110,'FOIS 145A'!$A$2:$A$22,'FOIS 145A'!$C$2:$C$22),""))</f>
        <v/>
      </c>
      <c r="T110" s="4">
        <f>IF(ISNUMBER(S110),S110*(1+IF(Settings!$B$11="Y",0,Settings!$B$10/100))+2*N(Settings!$B$9),"")</f>
        <v/>
      </c>
      <c r="U110">
        <f>IF(ISNUMBER(T110),IF(T110&lt;R110,"Rail","Road"),"")</f>
        <v/>
      </c>
      <c r="V110" s="4">
        <f>IF(ISNUMBER(T110),ABS(R110-T110),"")</f>
        <v/>
      </c>
      <c r="W110">
        <f>IF(OR(ISNUMBER(SEARCH("siding",D110)),ISNUMBER(SEARCH("rcr",D110)),ISNUMBER(SEARCH("rail",D110)),ISNUMBER(SEARCH("wagon",D110))),"Yes - siding/rail in title","Check")</f>
        <v/>
      </c>
      <c r="X110">
        <f>Settings!$B$6</f>
        <v/>
      </c>
    </row>
    <row r="111">
      <c r="A111" t="inlineStr">
        <is>
          <t>B 150-300 km</t>
        </is>
      </c>
      <c r="B111" t="inlineStr">
        <is>
          <t>14483226</t>
        </is>
      </c>
      <c r="C111" t="inlineStr">
        <is>
          <t>GEM/2025/B/6387250</t>
        </is>
      </c>
      <c r="D111" t="inlineStr">
        <is>
          <t>loading transportation and unloading of coal from any surface stock yard</t>
        </is>
      </c>
      <c r="E111" t="inlineStr">
        <is>
          <t>Coal transport (road)</t>
        </is>
      </c>
      <c r="F111" t="inlineStr">
        <is>
          <t>National Thermal Power Corporation Limited</t>
        </is>
      </c>
      <c r="G111" t="inlineStr">
        <is>
          <t>Jharkhand</t>
        </is>
      </c>
      <c r="H111" t="inlineStr">
        <is>
          <t>Ranchi</t>
        </is>
      </c>
      <c r="I111" t="inlineStr">
        <is>
          <t>2025-07-10</t>
        </is>
      </c>
      <c r="J111" t="inlineStr">
        <is>
          <t>AOC</t>
        </is>
      </c>
      <c r="K111" t="inlineStr">
        <is>
          <t>Vpr Mining Infrastructure Private Limited</t>
        </is>
      </c>
      <c r="L111" t="inlineStr">
        <is>
          <t>Anoop Road Carriers, G K Associates</t>
        </is>
      </c>
      <c r="M111" t="inlineStr">
        <is>
          <t>5 named / 16</t>
        </is>
      </c>
      <c r="N111" t="n">
        <v>28.34</v>
      </c>
      <c r="O111" t="n">
        <v>253</v>
      </c>
      <c r="P111">
        <f>MAX(O111,Settings!$B$13)*Settings!$B$7</f>
        <v/>
      </c>
      <c r="Q111">
        <f>MAX(O111,Settings!$B$13)*Settings!$B$8</f>
        <v/>
      </c>
      <c r="R111" s="4">
        <f>MAX(P111*Settings!$B$5,IF(ISNUMBER(Settings!$B$12),Settings!$B$12,0))*(1+IF(Settings!$B$11="Y",0,Settings!$B$10/100))+N(Settings!$B$9)</f>
        <v/>
      </c>
      <c r="S111" s="4">
        <f>IF(Q111&gt;1000,"beyond table",IFERROR(LOOKUP(Q111,'FOIS 145A'!$A$2:$A$22,'FOIS 145A'!$C$2:$C$22),""))</f>
        <v/>
      </c>
      <c r="T111" s="4">
        <f>IF(ISNUMBER(S111),S111*(1+IF(Settings!$B$11="Y",0,Settings!$B$10/100))+2*N(Settings!$B$9),"")</f>
        <v/>
      </c>
      <c r="U111">
        <f>IF(ISNUMBER(T111),IF(T111&lt;R111,"Rail","Road"),"")</f>
        <v/>
      </c>
      <c r="V111" s="4">
        <f>IF(ISNUMBER(T111),ABS(R111-T111),"")</f>
        <v/>
      </c>
      <c r="W111">
        <f>IF(OR(ISNUMBER(SEARCH("siding",D111)),ISNUMBER(SEARCH("rcr",D111)),ISNUMBER(SEARCH("rail",D111)),ISNUMBER(SEARCH("wagon",D111))),"Yes - siding/rail in title","Check")</f>
        <v/>
      </c>
      <c r="X111">
        <f>Settings!$B$6</f>
        <v/>
      </c>
    </row>
    <row r="112">
      <c r="A112" t="inlineStr">
        <is>
          <t>B 150-300 km</t>
        </is>
      </c>
      <c r="B112" t="inlineStr">
        <is>
          <t>17866039</t>
        </is>
      </c>
      <c r="C112" t="inlineStr">
        <is>
          <t>GEM/2026/B/7753429</t>
        </is>
      </c>
      <c r="D112" t="inlineStr">
        <is>
          <t>loading of coal into railway wagon by contractors payloaders at kdh railway siding including levelling of wagons lime sprinkling at top of r</t>
        </is>
      </c>
      <c r="E112" t="inlineStr">
        <is>
          <t>Loading / handling / crushing</t>
        </is>
      </c>
      <c r="F112" t="inlineStr">
        <is>
          <t>Central Coalfields Limited</t>
        </is>
      </c>
      <c r="G112" t="inlineStr">
        <is>
          <t>Jharkhand</t>
        </is>
      </c>
      <c r="H112" t="inlineStr">
        <is>
          <t>Ranchi</t>
        </is>
      </c>
      <c r="I112" t="inlineStr">
        <is>
          <t>2026-07-27</t>
        </is>
      </c>
      <c r="J112" t="inlineStr">
        <is>
          <t>Financial</t>
        </is>
      </c>
      <c r="K112" t="inlineStr">
        <is>
          <t>-</t>
        </is>
      </c>
      <c r="L112" t="inlineStr"/>
      <c r="M112" t="inlineStr">
        <is>
          <t>5 named / 5</t>
        </is>
      </c>
      <c r="O112" t="n">
        <v>253</v>
      </c>
      <c r="P112">
        <f>MAX(O112,Settings!$B$13)*Settings!$B$7</f>
        <v/>
      </c>
      <c r="Q112">
        <f>MAX(O112,Settings!$B$13)*Settings!$B$8</f>
        <v/>
      </c>
      <c r="R112" s="4">
        <f>MAX(P112*Settings!$B$5,IF(ISNUMBER(Settings!$B$12),Settings!$B$12,0))*(1+IF(Settings!$B$11="Y",0,Settings!$B$10/100))+N(Settings!$B$9)</f>
        <v/>
      </c>
      <c r="S112" s="4">
        <f>IF(Q112&gt;1000,"beyond table",IFERROR(LOOKUP(Q112,'FOIS 145A'!$A$2:$A$22,'FOIS 145A'!$C$2:$C$22),""))</f>
        <v/>
      </c>
      <c r="T112" s="4">
        <f>IF(ISNUMBER(S112),S112*(1+IF(Settings!$B$11="Y",0,Settings!$B$10/100))+2*N(Settings!$B$9),"")</f>
        <v/>
      </c>
      <c r="U112">
        <f>IF(ISNUMBER(T112),IF(T112&lt;R112,"Rail","Road"),"")</f>
        <v/>
      </c>
      <c r="V112" s="4">
        <f>IF(ISNUMBER(T112),ABS(R112-T112),"")</f>
        <v/>
      </c>
      <c r="W112">
        <f>IF(OR(ISNUMBER(SEARCH("siding",D112)),ISNUMBER(SEARCH("rcr",D112)),ISNUMBER(SEARCH("rail",D112)),ISNUMBER(SEARCH("wagon",D112))),"Yes - siding/rail in title","Check")</f>
        <v/>
      </c>
      <c r="X112">
        <f>Settings!$B$6</f>
        <v/>
      </c>
    </row>
    <row r="113">
      <c r="A113" t="inlineStr">
        <is>
          <t>B 150-300 km</t>
        </is>
      </c>
      <c r="B113" t="inlineStr">
        <is>
          <t>16363343</t>
        </is>
      </c>
      <c r="C113" t="inlineStr">
        <is>
          <t>GEM/2025/B/6884365</t>
        </is>
      </c>
      <c r="D113" t="inlineStr">
        <is>
          <t xml:space="preserve">loading of coal into railway wagon by contractors payloader at dakra (m) railway siding including leveling of wagons lime sprinkling at top </t>
        </is>
      </c>
      <c r="E113" t="inlineStr">
        <is>
          <t>Loading / handling / crushing</t>
        </is>
      </c>
      <c r="F113" t="inlineStr">
        <is>
          <t>Central Coalfields Limited</t>
        </is>
      </c>
      <c r="G113" t="inlineStr">
        <is>
          <t>Jharkhand</t>
        </is>
      </c>
      <c r="H113" t="inlineStr">
        <is>
          <t>Ranchi</t>
        </is>
      </c>
      <c r="I113" t="inlineStr">
        <is>
          <t>2025-11-27</t>
        </is>
      </c>
      <c r="J113" t="inlineStr">
        <is>
          <t>Financial</t>
        </is>
      </c>
      <c r="K113" t="inlineStr">
        <is>
          <t>-</t>
        </is>
      </c>
      <c r="L113" t="inlineStr"/>
      <c r="M113" t="inlineStr">
        <is>
          <t>5 named / 5</t>
        </is>
      </c>
      <c r="O113" t="n">
        <v>253</v>
      </c>
      <c r="P113">
        <f>MAX(O113,Settings!$B$13)*Settings!$B$7</f>
        <v/>
      </c>
      <c r="Q113">
        <f>MAX(O113,Settings!$B$13)*Settings!$B$8</f>
        <v/>
      </c>
      <c r="R113" s="4">
        <f>MAX(P113*Settings!$B$5,IF(ISNUMBER(Settings!$B$12),Settings!$B$12,0))*(1+IF(Settings!$B$11="Y",0,Settings!$B$10/100))+N(Settings!$B$9)</f>
        <v/>
      </c>
      <c r="S113" s="4">
        <f>IF(Q113&gt;1000,"beyond table",IFERROR(LOOKUP(Q113,'FOIS 145A'!$A$2:$A$22,'FOIS 145A'!$C$2:$C$22),""))</f>
        <v/>
      </c>
      <c r="T113" s="4">
        <f>IF(ISNUMBER(S113),S113*(1+IF(Settings!$B$11="Y",0,Settings!$B$10/100))+2*N(Settings!$B$9),"")</f>
        <v/>
      </c>
      <c r="U113">
        <f>IF(ISNUMBER(T113),IF(T113&lt;R113,"Rail","Road"),"")</f>
        <v/>
      </c>
      <c r="V113" s="4">
        <f>IF(ISNUMBER(T113),ABS(R113-T113),"")</f>
        <v/>
      </c>
      <c r="W113">
        <f>IF(OR(ISNUMBER(SEARCH("siding",D113)),ISNUMBER(SEARCH("rcr",D113)),ISNUMBER(SEARCH("rail",D113)),ISNUMBER(SEARCH("wagon",D113))),"Yes - siding/rail in title","Check")</f>
        <v/>
      </c>
      <c r="X113">
        <f>Settings!$B$6</f>
        <v/>
      </c>
    </row>
    <row r="114">
      <c r="A114" t="inlineStr">
        <is>
          <t>B 150-300 km</t>
        </is>
      </c>
      <c r="B114" t="inlineStr">
        <is>
          <t>16042180</t>
        </is>
      </c>
      <c r="C114" t="inlineStr">
        <is>
          <t>GEM/2025/B/6658121</t>
        </is>
      </c>
      <c r="D114" t="inlineStr">
        <is>
          <t>loading and transportation of 50.0 lakh te of processed coal from kedla washery to chainpur siding and loading of coal into wagons by pay lo</t>
        </is>
      </c>
      <c r="E114" t="inlineStr">
        <is>
          <t>Washery / beneficiation</t>
        </is>
      </c>
      <c r="F114" t="inlineStr">
        <is>
          <t>Central Coalfields Limited</t>
        </is>
      </c>
      <c r="G114" t="inlineStr">
        <is>
          <t>Jharkhand</t>
        </is>
      </c>
      <c r="H114" t="inlineStr">
        <is>
          <t>Ranchi</t>
        </is>
      </c>
      <c r="I114" t="inlineStr">
        <is>
          <t>2025-09-23</t>
        </is>
      </c>
      <c r="J114" t="inlineStr">
        <is>
          <t>AOC</t>
        </is>
      </c>
      <c r="K114" t="inlineStr">
        <is>
          <t>Shai Transporter</t>
        </is>
      </c>
      <c r="L114" t="inlineStr"/>
      <c r="M114" t="inlineStr">
        <is>
          <t>5 named / 16</t>
        </is>
      </c>
      <c r="N114" t="n">
        <v>76.45999999999999</v>
      </c>
      <c r="O114" t="n">
        <v>253</v>
      </c>
      <c r="P114">
        <f>MAX(O114,Settings!$B$13)*Settings!$B$7</f>
        <v/>
      </c>
      <c r="Q114">
        <f>MAX(O114,Settings!$B$13)*Settings!$B$8</f>
        <v/>
      </c>
      <c r="R114" s="4">
        <f>MAX(P114*Settings!$B$5,IF(ISNUMBER(Settings!$B$12),Settings!$B$12,0))*(1+IF(Settings!$B$11="Y",0,Settings!$B$10/100))+N(Settings!$B$9)</f>
        <v/>
      </c>
      <c r="S114" s="4">
        <f>IF(Q114&gt;1000,"beyond table",IFERROR(LOOKUP(Q114,'FOIS 145A'!$A$2:$A$22,'FOIS 145A'!$C$2:$C$22),""))</f>
        <v/>
      </c>
      <c r="T114" s="4">
        <f>IF(ISNUMBER(S114),S114*(1+IF(Settings!$B$11="Y",0,Settings!$B$10/100))+2*N(Settings!$B$9),"")</f>
        <v/>
      </c>
      <c r="U114">
        <f>IF(ISNUMBER(T114),IF(T114&lt;R114,"Rail","Road"),"")</f>
        <v/>
      </c>
      <c r="V114" s="4">
        <f>IF(ISNUMBER(T114),ABS(R114-T114),"")</f>
        <v/>
      </c>
      <c r="W114">
        <f>IF(OR(ISNUMBER(SEARCH("siding",D114)),ISNUMBER(SEARCH("rcr",D114)),ISNUMBER(SEARCH("rail",D114)),ISNUMBER(SEARCH("wagon",D114))),"Yes - siding/rail in title","Check")</f>
        <v/>
      </c>
      <c r="X114">
        <f>Settings!$B$6</f>
        <v/>
      </c>
    </row>
    <row r="115">
      <c r="A115" t="inlineStr">
        <is>
          <t>B 150-300 km</t>
        </is>
      </c>
      <c r="B115" t="inlineStr">
        <is>
          <t>15606380</t>
        </is>
      </c>
      <c r="C115" t="inlineStr">
        <is>
          <t>GEM/2025/B/6512018</t>
        </is>
      </c>
      <c r="D115" t="inlineStr">
        <is>
          <t>handling ,transport and other mining services - percentagequote based - handling &amp; transport service, loading andtransportation of coal from</t>
        </is>
      </c>
      <c r="E115" t="inlineStr">
        <is>
          <t>Coal transport (road)</t>
        </is>
      </c>
      <c r="F115" t="inlineStr">
        <is>
          <t>Northern Coalfields Limited</t>
        </is>
      </c>
      <c r="G115" t="inlineStr">
        <is>
          <t>Madhya Pradesh</t>
        </is>
      </c>
      <c r="H115" t="inlineStr">
        <is>
          <t>Singrauli</t>
        </is>
      </c>
      <c r="I115" t="inlineStr">
        <is>
          <t>2025-08-21</t>
        </is>
      </c>
      <c r="J115" t="inlineStr">
        <is>
          <t>AOC</t>
        </is>
      </c>
      <c r="K115" t="inlineStr">
        <is>
          <t>Hindustan Trade Overseas Private Limited, Khemka Carriers, Rpl Projects Limited, Shanker Fuels Private Limited</t>
        </is>
      </c>
      <c r="L115" t="inlineStr">
        <is>
          <t>G K Associates</t>
        </is>
      </c>
      <c r="M115" t="inlineStr">
        <is>
          <t>5 named / 28</t>
        </is>
      </c>
      <c r="N115" t="n">
        <v>71.97</v>
      </c>
      <c r="O115" t="n">
        <v>266</v>
      </c>
      <c r="P115">
        <f>MAX(O115,Settings!$B$13)*Settings!$B$7</f>
        <v/>
      </c>
      <c r="Q115">
        <f>MAX(O115,Settings!$B$13)*Settings!$B$8</f>
        <v/>
      </c>
      <c r="R115" s="4">
        <f>MAX(P115*Settings!$B$5,IF(ISNUMBER(Settings!$B$12),Settings!$B$12,0))*(1+IF(Settings!$B$11="Y",0,Settings!$B$10/100))+N(Settings!$B$9)</f>
        <v/>
      </c>
      <c r="S115" s="4">
        <f>IF(Q115&gt;1000,"beyond table",IFERROR(LOOKUP(Q115,'FOIS 145A'!$A$2:$A$22,'FOIS 145A'!$C$2:$C$22),""))</f>
        <v/>
      </c>
      <c r="T115" s="4">
        <f>IF(ISNUMBER(S115),S115*(1+IF(Settings!$B$11="Y",0,Settings!$B$10/100))+2*N(Settings!$B$9),"")</f>
        <v/>
      </c>
      <c r="U115">
        <f>IF(ISNUMBER(T115),IF(T115&lt;R115,"Rail","Road"),"")</f>
        <v/>
      </c>
      <c r="V115" s="4">
        <f>IF(ISNUMBER(T115),ABS(R115-T115),"")</f>
        <v/>
      </c>
      <c r="W115">
        <f>IF(OR(ISNUMBER(SEARCH("siding",D115)),ISNUMBER(SEARCH("rcr",D115)),ISNUMBER(SEARCH("rail",D115)),ISNUMBER(SEARCH("wagon",D115))),"Yes - siding/rail in title","Check")</f>
        <v/>
      </c>
      <c r="X115">
        <f>Settings!$B$6</f>
        <v/>
      </c>
    </row>
    <row r="116">
      <c r="A116" t="inlineStr">
        <is>
          <t>B 150-300 km</t>
        </is>
      </c>
      <c r="B116" t="inlineStr">
        <is>
          <t>14267063</t>
        </is>
      </c>
      <c r="C116" t="inlineStr">
        <is>
          <t>2025_BHEL_49216_1</t>
        </is>
      </c>
      <c r="D116" t="inlineStr">
        <is>
          <t>point to point transport contract for transportation of coal bunker items assembly from bhel hpvp to mahan singrauli</t>
        </is>
      </c>
      <c r="E116" t="inlineStr">
        <is>
          <t>Coal transport (road)</t>
        </is>
      </c>
      <c r="F116" t="inlineStr">
        <is>
          <t>Bharat Heavy Electricals Limited</t>
        </is>
      </c>
      <c r="G116" t="inlineStr">
        <is>
          <t>Madhya Pradesh</t>
        </is>
      </c>
      <c r="H116" t="inlineStr">
        <is>
          <t>Singrauli</t>
        </is>
      </c>
      <c r="I116" t="inlineStr">
        <is>
          <t>2025-06-11</t>
        </is>
      </c>
      <c r="J116" t="inlineStr">
        <is>
          <t>Technical</t>
        </is>
      </c>
      <c r="K116" t="inlineStr">
        <is>
          <t>-</t>
        </is>
      </c>
      <c r="L116" t="inlineStr"/>
      <c r="M116" t="inlineStr">
        <is>
          <t>5 named / 7</t>
        </is>
      </c>
      <c r="O116" t="n">
        <v>266</v>
      </c>
      <c r="P116">
        <f>MAX(O116,Settings!$B$13)*Settings!$B$7</f>
        <v/>
      </c>
      <c r="Q116">
        <f>MAX(O116,Settings!$B$13)*Settings!$B$8</f>
        <v/>
      </c>
      <c r="R116" s="4">
        <f>MAX(P116*Settings!$B$5,IF(ISNUMBER(Settings!$B$12),Settings!$B$12,0))*(1+IF(Settings!$B$11="Y",0,Settings!$B$10/100))+N(Settings!$B$9)</f>
        <v/>
      </c>
      <c r="S116" s="4">
        <f>IF(Q116&gt;1000,"beyond table",IFERROR(LOOKUP(Q116,'FOIS 145A'!$A$2:$A$22,'FOIS 145A'!$C$2:$C$22),""))</f>
        <v/>
      </c>
      <c r="T116" s="4">
        <f>IF(ISNUMBER(S116),S116*(1+IF(Settings!$B$11="Y",0,Settings!$B$10/100))+2*N(Settings!$B$9),"")</f>
        <v/>
      </c>
      <c r="U116">
        <f>IF(ISNUMBER(T116),IF(T116&lt;R116,"Rail","Road"),"")</f>
        <v/>
      </c>
      <c r="V116" s="4">
        <f>IF(ISNUMBER(T116),ABS(R116-T116),"")</f>
        <v/>
      </c>
      <c r="W116">
        <f>IF(OR(ISNUMBER(SEARCH("siding",D116)),ISNUMBER(SEARCH("rcr",D116)),ISNUMBER(SEARCH("rail",D116)),ISNUMBER(SEARCH("wagon",D116))),"Yes - siding/rail in title","Check")</f>
        <v/>
      </c>
      <c r="X116">
        <f>Settings!$B$6</f>
        <v/>
      </c>
    </row>
    <row r="117">
      <c r="A117" t="inlineStr">
        <is>
          <t>B 150-300 km</t>
        </is>
      </c>
      <c r="B117" t="inlineStr">
        <is>
          <t>12978901</t>
        </is>
      </c>
      <c r="C117" t="inlineStr">
        <is>
          <t>GEM/2025/B/5953424</t>
        </is>
      </c>
      <c r="D117" t="inlineStr">
        <is>
          <t>handling &amp; transport servi</t>
        </is>
      </c>
      <c r="E117" t="inlineStr">
        <is>
          <t>Coal transport (road)</t>
        </is>
      </c>
      <c r="F117" t="inlineStr">
        <is>
          <t>Northern Coalfields Limited</t>
        </is>
      </c>
      <c r="G117" t="inlineStr">
        <is>
          <t>Madhya Pradesh</t>
        </is>
      </c>
      <c r="H117" t="inlineStr">
        <is>
          <t>Singrauli</t>
        </is>
      </c>
      <c r="I117" t="inlineStr">
        <is>
          <t>2025-03-10</t>
        </is>
      </c>
      <c r="J117" t="inlineStr">
        <is>
          <t>AOC</t>
        </is>
      </c>
      <c r="K117" t="inlineStr">
        <is>
          <t>Harsh Roadlines Private Limited</t>
        </is>
      </c>
      <c r="L117" t="inlineStr">
        <is>
          <t>G K Associates</t>
        </is>
      </c>
      <c r="M117" t="inlineStr">
        <is>
          <t>5 named / 15</t>
        </is>
      </c>
      <c r="N117" t="n">
        <v>76.52</v>
      </c>
      <c r="O117" t="n">
        <v>266</v>
      </c>
      <c r="P117">
        <f>MAX(O117,Settings!$B$13)*Settings!$B$7</f>
        <v/>
      </c>
      <c r="Q117">
        <f>MAX(O117,Settings!$B$13)*Settings!$B$8</f>
        <v/>
      </c>
      <c r="R117" s="4">
        <f>MAX(P117*Settings!$B$5,IF(ISNUMBER(Settings!$B$12),Settings!$B$12,0))*(1+IF(Settings!$B$11="Y",0,Settings!$B$10/100))+N(Settings!$B$9)</f>
        <v/>
      </c>
      <c r="S117" s="4">
        <f>IF(Q117&gt;1000,"beyond table",IFERROR(LOOKUP(Q117,'FOIS 145A'!$A$2:$A$22,'FOIS 145A'!$C$2:$C$22),""))</f>
        <v/>
      </c>
      <c r="T117" s="4">
        <f>IF(ISNUMBER(S117),S117*(1+IF(Settings!$B$11="Y",0,Settings!$B$10/100))+2*N(Settings!$B$9),"")</f>
        <v/>
      </c>
      <c r="U117">
        <f>IF(ISNUMBER(T117),IF(T117&lt;R117,"Rail","Road"),"")</f>
        <v/>
      </c>
      <c r="V117" s="4">
        <f>IF(ISNUMBER(T117),ABS(R117-T117),"")</f>
        <v/>
      </c>
      <c r="W117">
        <f>IF(OR(ISNUMBER(SEARCH("siding",D117)),ISNUMBER(SEARCH("rcr",D117)),ISNUMBER(SEARCH("rail",D117)),ISNUMBER(SEARCH("wagon",D117))),"Yes - siding/rail in title","Check")</f>
        <v/>
      </c>
      <c r="X117">
        <f>Settings!$B$6</f>
        <v/>
      </c>
    </row>
    <row r="118">
      <c r="A118" t="inlineStr">
        <is>
          <t>B 150-300 km</t>
        </is>
      </c>
      <c r="B118" t="inlineStr">
        <is>
          <t>13079623</t>
        </is>
      </c>
      <c r="C118" t="inlineStr">
        <is>
          <t>GEM/2025/B/6031601</t>
        </is>
      </c>
      <c r="D118" t="inlineStr">
        <is>
          <t>handling &amp; transport servi</t>
        </is>
      </c>
      <c r="E118" t="inlineStr">
        <is>
          <t>Coal transport (road)</t>
        </is>
      </c>
      <c r="F118" t="inlineStr">
        <is>
          <t>Central Coalfields Limited</t>
        </is>
      </c>
      <c r="G118" t="inlineStr">
        <is>
          <t>Jharkhand</t>
        </is>
      </c>
      <c r="H118" t="inlineStr">
        <is>
          <t>Ramgarh</t>
        </is>
      </c>
      <c r="I118" t="inlineStr">
        <is>
          <t>2025-03-21</t>
        </is>
      </c>
      <c r="J118" t="inlineStr">
        <is>
          <t>AOC</t>
        </is>
      </c>
      <c r="K118" t="inlineStr">
        <is>
          <t>Fairdeal Projects Private Limited</t>
        </is>
      </c>
      <c r="L118" t="inlineStr"/>
      <c r="M118" t="inlineStr">
        <is>
          <t>5 named / 7</t>
        </is>
      </c>
      <c r="N118" t="n">
        <v>36.7</v>
      </c>
      <c r="O118" t="n">
        <v>293</v>
      </c>
      <c r="P118">
        <f>MAX(O118,Settings!$B$13)*Settings!$B$7</f>
        <v/>
      </c>
      <c r="Q118">
        <f>MAX(O118,Settings!$B$13)*Settings!$B$8</f>
        <v/>
      </c>
      <c r="R118" s="4">
        <f>MAX(P118*Settings!$B$5,IF(ISNUMBER(Settings!$B$12),Settings!$B$12,0))*(1+IF(Settings!$B$11="Y",0,Settings!$B$10/100))+N(Settings!$B$9)</f>
        <v/>
      </c>
      <c r="S118" s="4">
        <f>IF(Q118&gt;1000,"beyond table",IFERROR(LOOKUP(Q118,'FOIS 145A'!$A$2:$A$22,'FOIS 145A'!$C$2:$C$22),""))</f>
        <v/>
      </c>
      <c r="T118" s="4">
        <f>IF(ISNUMBER(S118),S118*(1+IF(Settings!$B$11="Y",0,Settings!$B$10/100))+2*N(Settings!$B$9),"")</f>
        <v/>
      </c>
      <c r="U118">
        <f>IF(ISNUMBER(T118),IF(T118&lt;R118,"Rail","Road"),"")</f>
        <v/>
      </c>
      <c r="V118" s="4">
        <f>IF(ISNUMBER(T118),ABS(R118-T118),"")</f>
        <v/>
      </c>
      <c r="W118">
        <f>IF(OR(ISNUMBER(SEARCH("siding",D118)),ISNUMBER(SEARCH("rcr",D118)),ISNUMBER(SEARCH("rail",D118)),ISNUMBER(SEARCH("wagon",D118))),"Yes - siding/rail in title","Check")</f>
        <v/>
      </c>
      <c r="X118">
        <f>Settings!$B$6</f>
        <v/>
      </c>
    </row>
    <row r="119">
      <c r="A119" t="inlineStr">
        <is>
          <t>B 150-300 km</t>
        </is>
      </c>
      <c r="B119" t="inlineStr">
        <is>
          <t>12537380</t>
        </is>
      </c>
      <c r="C119" t="inlineStr">
        <is>
          <t>GEM/2025/B/5829853</t>
        </is>
      </c>
      <c r="D119" t="inlineStr">
        <is>
          <t>handling &amp; transport servi</t>
        </is>
      </c>
      <c r="E119" t="inlineStr">
        <is>
          <t>Coal transport (road)</t>
        </is>
      </c>
      <c r="F119" t="inlineStr">
        <is>
          <t>Central Coalfields Limited</t>
        </is>
      </c>
      <c r="G119" t="inlineStr">
        <is>
          <t>Jharkhand</t>
        </is>
      </c>
      <c r="H119" t="inlineStr">
        <is>
          <t>Ramgarh</t>
        </is>
      </c>
      <c r="I119" t="inlineStr">
        <is>
          <t>2025-01-31</t>
        </is>
      </c>
      <c r="J119" t="inlineStr">
        <is>
          <t>AOC</t>
        </is>
      </c>
      <c r="K119" t="inlineStr">
        <is>
          <t>Fairdeal Projects Private Limited</t>
        </is>
      </c>
      <c r="L119" t="inlineStr"/>
      <c r="M119" t="inlineStr">
        <is>
          <t>5 named / 7</t>
        </is>
      </c>
      <c r="N119" t="n">
        <v>14.19</v>
      </c>
      <c r="O119" t="n">
        <v>293</v>
      </c>
      <c r="P119">
        <f>MAX(O119,Settings!$B$13)*Settings!$B$7</f>
        <v/>
      </c>
      <c r="Q119">
        <f>MAX(O119,Settings!$B$13)*Settings!$B$8</f>
        <v/>
      </c>
      <c r="R119" s="4">
        <f>MAX(P119*Settings!$B$5,IF(ISNUMBER(Settings!$B$12),Settings!$B$12,0))*(1+IF(Settings!$B$11="Y",0,Settings!$B$10/100))+N(Settings!$B$9)</f>
        <v/>
      </c>
      <c r="S119" s="4">
        <f>IF(Q119&gt;1000,"beyond table",IFERROR(LOOKUP(Q119,'FOIS 145A'!$A$2:$A$22,'FOIS 145A'!$C$2:$C$22),""))</f>
        <v/>
      </c>
      <c r="T119" s="4">
        <f>IF(ISNUMBER(S119),S119*(1+IF(Settings!$B$11="Y",0,Settings!$B$10/100))+2*N(Settings!$B$9),"")</f>
        <v/>
      </c>
      <c r="U119">
        <f>IF(ISNUMBER(T119),IF(T119&lt;R119,"Rail","Road"),"")</f>
        <v/>
      </c>
      <c r="V119" s="4">
        <f>IF(ISNUMBER(T119),ABS(R119-T119),"")</f>
        <v/>
      </c>
      <c r="W119">
        <f>IF(OR(ISNUMBER(SEARCH("siding",D119)),ISNUMBER(SEARCH("rcr",D119)),ISNUMBER(SEARCH("rail",D119)),ISNUMBER(SEARCH("wagon",D119))),"Yes - siding/rail in title","Check")</f>
        <v/>
      </c>
      <c r="X119">
        <f>Settings!$B$6</f>
        <v/>
      </c>
    </row>
    <row r="120">
      <c r="A120" t="inlineStr">
        <is>
          <t>B 150-300 km</t>
        </is>
      </c>
      <c r="B120" t="inlineStr">
        <is>
          <t>15921961</t>
        </is>
      </c>
      <c r="C120" t="inlineStr">
        <is>
          <t>GEM/2025/B/6581450</t>
        </is>
      </c>
      <c r="D120" t="inlineStr">
        <is>
          <t xml:space="preserve">handling &amp; transport service, ob removal, coal extraction, hiring of hemm for extraction of coal, removal of composite ob and rehandling ob </t>
        </is>
      </c>
      <c r="E120" t="inlineStr">
        <is>
          <t>Mining services (OB / extraction)</t>
        </is>
      </c>
      <c r="F120" t="inlineStr">
        <is>
          <t>Central Coalfields Limited</t>
        </is>
      </c>
      <c r="G120" t="inlineStr">
        <is>
          <t>Jharkhand</t>
        </is>
      </c>
      <c r="H120" t="inlineStr">
        <is>
          <t>Ramgarh</t>
        </is>
      </c>
      <c r="I120" t="inlineStr">
        <is>
          <t>2025-09-02</t>
        </is>
      </c>
      <c r="J120" t="inlineStr">
        <is>
          <t>AOC</t>
        </is>
      </c>
      <c r="K120" t="inlineStr">
        <is>
          <t>Bla Infrastructure Private Limited</t>
        </is>
      </c>
      <c r="L120" t="inlineStr">
        <is>
          <t>G K Associates</t>
        </is>
      </c>
      <c r="M120" t="inlineStr">
        <is>
          <t>5 named / 13</t>
        </is>
      </c>
      <c r="N120" t="n">
        <v>263.98</v>
      </c>
      <c r="O120" t="n">
        <v>293</v>
      </c>
      <c r="P120">
        <f>MAX(O120,Settings!$B$13)*Settings!$B$7</f>
        <v/>
      </c>
      <c r="Q120">
        <f>MAX(O120,Settings!$B$13)*Settings!$B$8</f>
        <v/>
      </c>
      <c r="R120" s="4">
        <f>MAX(P120*Settings!$B$5,IF(ISNUMBER(Settings!$B$12),Settings!$B$12,0))*(1+IF(Settings!$B$11="Y",0,Settings!$B$10/100))+N(Settings!$B$9)</f>
        <v/>
      </c>
      <c r="S120" s="4">
        <f>IF(Q120&gt;1000,"beyond table",IFERROR(LOOKUP(Q120,'FOIS 145A'!$A$2:$A$22,'FOIS 145A'!$C$2:$C$22),""))</f>
        <v/>
      </c>
      <c r="T120" s="4">
        <f>IF(ISNUMBER(S120),S120*(1+IF(Settings!$B$11="Y",0,Settings!$B$10/100))+2*N(Settings!$B$9),"")</f>
        <v/>
      </c>
      <c r="U120">
        <f>IF(ISNUMBER(T120),IF(T120&lt;R120,"Rail","Road"),"")</f>
        <v/>
      </c>
      <c r="V120" s="4">
        <f>IF(ISNUMBER(T120),ABS(R120-T120),"")</f>
        <v/>
      </c>
      <c r="W120">
        <f>IF(OR(ISNUMBER(SEARCH("siding",D120)),ISNUMBER(SEARCH("rcr",D120)),ISNUMBER(SEARCH("rail",D120)),ISNUMBER(SEARCH("wagon",D120))),"Yes - siding/rail in title","Check")</f>
        <v/>
      </c>
      <c r="X120">
        <f>Settings!$B$6</f>
        <v/>
      </c>
    </row>
    <row r="121">
      <c r="A121" t="inlineStr">
        <is>
          <t>B 150-300 km</t>
        </is>
      </c>
      <c r="B121" t="inlineStr">
        <is>
          <t>15535259</t>
        </is>
      </c>
      <c r="C121" t="inlineStr">
        <is>
          <t>GEM/2025/B/6515660</t>
        </is>
      </c>
      <c r="D121" t="inlineStr">
        <is>
          <t>handling &amp; transport service , ob removal , coal extraction , hiring of hemm for removal of ob and coal extraction , crushing of coal and tr</t>
        </is>
      </c>
      <c r="E121" t="inlineStr">
        <is>
          <t>Mining services (OB / extraction)</t>
        </is>
      </c>
      <c r="F121" t="inlineStr">
        <is>
          <t>Central Coalfields Limited</t>
        </is>
      </c>
      <c r="G121" t="inlineStr">
        <is>
          <t>Jharkhand</t>
        </is>
      </c>
      <c r="H121" t="inlineStr">
        <is>
          <t>Ramgarh</t>
        </is>
      </c>
      <c r="I121" t="inlineStr">
        <is>
          <t>2025-08-14</t>
        </is>
      </c>
      <c r="J121" t="inlineStr">
        <is>
          <t>AOC</t>
        </is>
      </c>
      <c r="K121" t="inlineStr">
        <is>
          <t>Jarpl-At Consortium</t>
        </is>
      </c>
      <c r="L121" t="inlineStr">
        <is>
          <t>G K Associates</t>
        </is>
      </c>
      <c r="M121" t="inlineStr">
        <is>
          <t>5 named / 18</t>
        </is>
      </c>
      <c r="N121" t="n">
        <v>127.42</v>
      </c>
      <c r="O121" t="n">
        <v>293</v>
      </c>
      <c r="P121">
        <f>MAX(O121,Settings!$B$13)*Settings!$B$7</f>
        <v/>
      </c>
      <c r="Q121">
        <f>MAX(O121,Settings!$B$13)*Settings!$B$8</f>
        <v/>
      </c>
      <c r="R121" s="4">
        <f>MAX(P121*Settings!$B$5,IF(ISNUMBER(Settings!$B$12),Settings!$B$12,0))*(1+IF(Settings!$B$11="Y",0,Settings!$B$10/100))+N(Settings!$B$9)</f>
        <v/>
      </c>
      <c r="S121" s="4">
        <f>IF(Q121&gt;1000,"beyond table",IFERROR(LOOKUP(Q121,'FOIS 145A'!$A$2:$A$22,'FOIS 145A'!$C$2:$C$22),""))</f>
        <v/>
      </c>
      <c r="T121" s="4">
        <f>IF(ISNUMBER(S121),S121*(1+IF(Settings!$B$11="Y",0,Settings!$B$10/100))+2*N(Settings!$B$9),"")</f>
        <v/>
      </c>
      <c r="U121">
        <f>IF(ISNUMBER(T121),IF(T121&lt;R121,"Rail","Road"),"")</f>
        <v/>
      </c>
      <c r="V121" s="4">
        <f>IF(ISNUMBER(T121),ABS(R121-T121),"")</f>
        <v/>
      </c>
      <c r="W121">
        <f>IF(OR(ISNUMBER(SEARCH("siding",D121)),ISNUMBER(SEARCH("rcr",D121)),ISNUMBER(SEARCH("rail",D121)),ISNUMBER(SEARCH("wagon",D121))),"Yes - siding/rail in title","Check")</f>
        <v/>
      </c>
      <c r="X121">
        <f>Settings!$B$6</f>
        <v/>
      </c>
    </row>
    <row r="122">
      <c r="A122" t="inlineStr">
        <is>
          <t>B 150-300 km</t>
        </is>
      </c>
      <c r="B122" t="inlineStr">
        <is>
          <t>16673704</t>
        </is>
      </c>
      <c r="C122" t="inlineStr">
        <is>
          <t>GEM/2026/B/7079681</t>
        </is>
      </c>
      <c r="D122" t="inlineStr">
        <is>
          <t>handling service, handling &amp; transport service, transport service, loading of coal into railway wagons at bachra spur siding by contractor’s</t>
        </is>
      </c>
      <c r="E122" t="inlineStr">
        <is>
          <t>Coal transport (RCR / siding)</t>
        </is>
      </c>
      <c r="F122" t="inlineStr">
        <is>
          <t>Central Coalfields Limited</t>
        </is>
      </c>
      <c r="G122" t="inlineStr">
        <is>
          <t>Jharkhand</t>
        </is>
      </c>
      <c r="H122" t="inlineStr">
        <is>
          <t>Chatra</t>
        </is>
      </c>
      <c r="I122" t="inlineStr">
        <is>
          <t>2026-01-21</t>
        </is>
      </c>
      <c r="J122" t="inlineStr">
        <is>
          <t>AOC</t>
        </is>
      </c>
      <c r="K122" t="inlineStr">
        <is>
          <t>Deo Trading Company</t>
        </is>
      </c>
      <c r="L122" t="inlineStr"/>
      <c r="M122" t="inlineStr">
        <is>
          <t>5 named / 9</t>
        </is>
      </c>
      <c r="N122" t="n">
        <v>19.4</v>
      </c>
      <c r="O122" t="n">
        <v>298</v>
      </c>
      <c r="P122">
        <f>MAX(O122,Settings!$B$13)*Settings!$B$7</f>
        <v/>
      </c>
      <c r="Q122">
        <f>MAX(O122,Settings!$B$13)*Settings!$B$8</f>
        <v/>
      </c>
      <c r="R122" s="4">
        <f>MAX(P122*Settings!$B$5,IF(ISNUMBER(Settings!$B$12),Settings!$B$12,0))*(1+IF(Settings!$B$11="Y",0,Settings!$B$10/100))+N(Settings!$B$9)</f>
        <v/>
      </c>
      <c r="S122" s="4">
        <f>IF(Q122&gt;1000,"beyond table",IFERROR(LOOKUP(Q122,'FOIS 145A'!$A$2:$A$22,'FOIS 145A'!$C$2:$C$22),""))</f>
        <v/>
      </c>
      <c r="T122" s="4">
        <f>IF(ISNUMBER(S122),S122*(1+IF(Settings!$B$11="Y",0,Settings!$B$10/100))+2*N(Settings!$B$9),"")</f>
        <v/>
      </c>
      <c r="U122">
        <f>IF(ISNUMBER(T122),IF(T122&lt;R122,"Rail","Road"),"")</f>
        <v/>
      </c>
      <c r="V122" s="4">
        <f>IF(ISNUMBER(T122),ABS(R122-T122),"")</f>
        <v/>
      </c>
      <c r="W122">
        <f>IF(OR(ISNUMBER(SEARCH("siding",D122)),ISNUMBER(SEARCH("rcr",D122)),ISNUMBER(SEARCH("rail",D122)),ISNUMBER(SEARCH("wagon",D122))),"Yes - siding/rail in title","Check")</f>
        <v/>
      </c>
      <c r="X122">
        <f>Settings!$B$6</f>
        <v/>
      </c>
    </row>
    <row r="123">
      <c r="A123" t="inlineStr">
        <is>
          <t>B 150-300 km</t>
        </is>
      </c>
      <c r="B123" t="inlineStr">
        <is>
          <t>16008975</t>
        </is>
      </c>
      <c r="C123" t="inlineStr">
        <is>
          <t>GEM/2025/B/6884741</t>
        </is>
      </c>
      <c r="D123" t="inlineStr">
        <is>
          <t>handling &amp; transport service, loading and transportation of coal from different coal heaps to the dump hopper at ashok ocp, piparwar area</t>
        </is>
      </c>
      <c r="E123" t="inlineStr">
        <is>
          <t>Coal transport (road)</t>
        </is>
      </c>
      <c r="F123" t="inlineStr">
        <is>
          <t>Central Coalfields Limited</t>
        </is>
      </c>
      <c r="G123" t="inlineStr">
        <is>
          <t>Jharkhand</t>
        </is>
      </c>
      <c r="H123" t="inlineStr">
        <is>
          <t>Chatra</t>
        </is>
      </c>
      <c r="I123" t="inlineStr">
        <is>
          <t>2025-11-27</t>
        </is>
      </c>
      <c r="J123" t="inlineStr">
        <is>
          <t>Financial</t>
        </is>
      </c>
      <c r="K123" t="inlineStr">
        <is>
          <t>-</t>
        </is>
      </c>
      <c r="L123" t="inlineStr"/>
      <c r="M123" t="inlineStr">
        <is>
          <t>5 named / 8</t>
        </is>
      </c>
      <c r="O123" t="n">
        <v>298</v>
      </c>
      <c r="P123">
        <f>MAX(O123,Settings!$B$13)*Settings!$B$7</f>
        <v/>
      </c>
      <c r="Q123">
        <f>MAX(O123,Settings!$B$13)*Settings!$B$8</f>
        <v/>
      </c>
      <c r="R123" s="4">
        <f>MAX(P123*Settings!$B$5,IF(ISNUMBER(Settings!$B$12),Settings!$B$12,0))*(1+IF(Settings!$B$11="Y",0,Settings!$B$10/100))+N(Settings!$B$9)</f>
        <v/>
      </c>
      <c r="S123" s="4">
        <f>IF(Q123&gt;1000,"beyond table",IFERROR(LOOKUP(Q123,'FOIS 145A'!$A$2:$A$22,'FOIS 145A'!$C$2:$C$22),""))</f>
        <v/>
      </c>
      <c r="T123" s="4">
        <f>IF(ISNUMBER(S123),S123*(1+IF(Settings!$B$11="Y",0,Settings!$B$10/100))+2*N(Settings!$B$9),"")</f>
        <v/>
      </c>
      <c r="U123">
        <f>IF(ISNUMBER(T123),IF(T123&lt;R123,"Rail","Road"),"")</f>
        <v/>
      </c>
      <c r="V123" s="4">
        <f>IF(ISNUMBER(T123),ABS(R123-T123),"")</f>
        <v/>
      </c>
      <c r="W123">
        <f>IF(OR(ISNUMBER(SEARCH("siding",D123)),ISNUMBER(SEARCH("rcr",D123)),ISNUMBER(SEARCH("rail",D123)),ISNUMBER(SEARCH("wagon",D123))),"Yes - siding/rail in title","Check")</f>
        <v/>
      </c>
      <c r="X123">
        <f>Settings!$B$6</f>
        <v/>
      </c>
    </row>
    <row r="124">
      <c r="A124" t="inlineStr">
        <is>
          <t>B 150-300 km</t>
        </is>
      </c>
      <c r="B124" t="inlineStr">
        <is>
          <t>15265837</t>
        </is>
      </c>
      <c r="C124" t="inlineStr">
        <is>
          <t>GEM/2025/B/6519395</t>
        </is>
      </c>
      <c r="D124" t="inlineStr">
        <is>
          <t>handling &amp; transport servi</t>
        </is>
      </c>
      <c r="E124" t="inlineStr">
        <is>
          <t>Coal transport (road)</t>
        </is>
      </c>
      <c r="F124" t="inlineStr">
        <is>
          <t>Central Coalfields Limited</t>
        </is>
      </c>
      <c r="G124" t="inlineStr">
        <is>
          <t>Jharkhand</t>
        </is>
      </c>
      <c r="H124" t="inlineStr">
        <is>
          <t>Chatra</t>
        </is>
      </c>
      <c r="I124" t="inlineStr">
        <is>
          <t>2025-08-16</t>
        </is>
      </c>
      <c r="J124" t="inlineStr">
        <is>
          <t>AOC</t>
        </is>
      </c>
      <c r="K124" t="inlineStr">
        <is>
          <t>M/S United Coal Carriers</t>
        </is>
      </c>
      <c r="L124" t="inlineStr">
        <is>
          <t>G K Associates</t>
        </is>
      </c>
      <c r="M124" t="inlineStr">
        <is>
          <t>5 named / 20</t>
        </is>
      </c>
      <c r="N124" t="n">
        <v>496.51</v>
      </c>
      <c r="O124" t="n">
        <v>298</v>
      </c>
      <c r="P124">
        <f>MAX(O124,Settings!$B$13)*Settings!$B$7</f>
        <v/>
      </c>
      <c r="Q124">
        <f>MAX(O124,Settings!$B$13)*Settings!$B$8</f>
        <v/>
      </c>
      <c r="R124" s="4">
        <f>MAX(P124*Settings!$B$5,IF(ISNUMBER(Settings!$B$12),Settings!$B$12,0))*(1+IF(Settings!$B$11="Y",0,Settings!$B$10/100))+N(Settings!$B$9)</f>
        <v/>
      </c>
      <c r="S124" s="4">
        <f>IF(Q124&gt;1000,"beyond table",IFERROR(LOOKUP(Q124,'FOIS 145A'!$A$2:$A$22,'FOIS 145A'!$C$2:$C$22),""))</f>
        <v/>
      </c>
      <c r="T124" s="4">
        <f>IF(ISNUMBER(S124),S124*(1+IF(Settings!$B$11="Y",0,Settings!$B$10/100))+2*N(Settings!$B$9),"")</f>
        <v/>
      </c>
      <c r="U124">
        <f>IF(ISNUMBER(T124),IF(T124&lt;R124,"Rail","Road"),"")</f>
        <v/>
      </c>
      <c r="V124" s="4">
        <f>IF(ISNUMBER(T124),ABS(R124-T124),"")</f>
        <v/>
      </c>
      <c r="W124">
        <f>IF(OR(ISNUMBER(SEARCH("siding",D124)),ISNUMBER(SEARCH("rcr",D124)),ISNUMBER(SEARCH("rail",D124)),ISNUMBER(SEARCH("wagon",D124))),"Yes - siding/rail in title","Check")</f>
        <v/>
      </c>
      <c r="X124">
        <f>Settings!$B$6</f>
        <v/>
      </c>
    </row>
    <row r="125">
      <c r="A125" t="inlineStr">
        <is>
          <t>C 300-500 km</t>
        </is>
      </c>
      <c r="B125" t="inlineStr">
        <is>
          <t>16427868</t>
        </is>
      </c>
      <c r="C125" t="inlineStr">
        <is>
          <t>GEM/2026/B/7061231</t>
        </is>
      </c>
      <c r="D125" t="inlineStr">
        <is>
          <t>loading transportation and unloading and wagon loading of 8 lmt of coal from surface coal yard of kerandari coal mining project</t>
        </is>
      </c>
      <c r="E125" t="inlineStr">
        <is>
          <t>Coal transport (RCR / siding)</t>
        </is>
      </c>
      <c r="F125" t="inlineStr">
        <is>
          <t>National Thermal Power Corporation Limited</t>
        </is>
      </c>
      <c r="G125" t="inlineStr">
        <is>
          <t>Jharkhand</t>
        </is>
      </c>
      <c r="H125" t="inlineStr">
        <is>
          <t>Hazaribagh</t>
        </is>
      </c>
      <c r="I125" t="inlineStr">
        <is>
          <t>2026-01-23</t>
        </is>
      </c>
      <c r="J125" t="inlineStr">
        <is>
          <t>AOC</t>
        </is>
      </c>
      <c r="K125" t="inlineStr">
        <is>
          <t>Jainandani Commodities Private Limited</t>
        </is>
      </c>
      <c r="L125" t="inlineStr">
        <is>
          <t>Nkas Services, Orissa Stevedores</t>
        </is>
      </c>
      <c r="M125" t="inlineStr">
        <is>
          <t>5 named / 10</t>
        </is>
      </c>
      <c r="N125" t="n">
        <v>34.62</v>
      </c>
      <c r="O125" t="n">
        <v>307</v>
      </c>
      <c r="P125">
        <f>MAX(O125,Settings!$B$13)*Settings!$B$7</f>
        <v/>
      </c>
      <c r="Q125">
        <f>MAX(O125,Settings!$B$13)*Settings!$B$8</f>
        <v/>
      </c>
      <c r="R125" s="4">
        <f>MAX(P125*Settings!$B$5,IF(ISNUMBER(Settings!$B$12),Settings!$B$12,0))*(1+IF(Settings!$B$11="Y",0,Settings!$B$10/100))+N(Settings!$B$9)</f>
        <v/>
      </c>
      <c r="S125" s="4">
        <f>IF(Q125&gt;1000,"beyond table",IFERROR(LOOKUP(Q125,'FOIS 145A'!$A$2:$A$22,'FOIS 145A'!$C$2:$C$22),""))</f>
        <v/>
      </c>
      <c r="T125" s="4">
        <f>IF(ISNUMBER(S125),S125*(1+IF(Settings!$B$11="Y",0,Settings!$B$10/100))+2*N(Settings!$B$9),"")</f>
        <v/>
      </c>
      <c r="U125">
        <f>IF(ISNUMBER(T125),IF(T125&lt;R125,"Rail","Road"),"")</f>
        <v/>
      </c>
      <c r="V125" s="4">
        <f>IF(ISNUMBER(T125),ABS(R125-T125),"")</f>
        <v/>
      </c>
      <c r="W125">
        <f>IF(OR(ISNUMBER(SEARCH("siding",D125)),ISNUMBER(SEARCH("rcr",D125)),ISNUMBER(SEARCH("rail",D125)),ISNUMBER(SEARCH("wagon",D125))),"Yes - siding/rail in title","Check")</f>
        <v/>
      </c>
      <c r="X125">
        <f>Settings!$B$6</f>
        <v/>
      </c>
    </row>
    <row r="126">
      <c r="A126" t="inlineStr">
        <is>
          <t>C 300-500 km</t>
        </is>
      </c>
      <c r="B126" t="inlineStr">
        <is>
          <t>15593413</t>
        </is>
      </c>
      <c r="C126" t="inlineStr">
        <is>
          <t>GEM/2025/B/6695200</t>
        </is>
      </c>
      <c r="D126" t="inlineStr">
        <is>
          <t>coal transportation from surface coal yard of kerandari to ntpc north karanpura or to tori  any other siding including maintenance of siding</t>
        </is>
      </c>
      <c r="E126" t="inlineStr">
        <is>
          <t>Coal transport (RCR / siding)</t>
        </is>
      </c>
      <c r="F126" t="inlineStr">
        <is>
          <t>National Thermal Power Corporation Limited</t>
        </is>
      </c>
      <c r="G126" t="inlineStr">
        <is>
          <t>Jharkhand</t>
        </is>
      </c>
      <c r="H126" t="inlineStr">
        <is>
          <t>Hazaribagh</t>
        </is>
      </c>
      <c r="I126" t="inlineStr">
        <is>
          <t>2025-10-08</t>
        </is>
      </c>
      <c r="J126" t="inlineStr">
        <is>
          <t>Financial</t>
        </is>
      </c>
      <c r="K126" t="inlineStr">
        <is>
          <t>-</t>
        </is>
      </c>
      <c r="L126" t="inlineStr">
        <is>
          <t>Nkas Services</t>
        </is>
      </c>
      <c r="M126" t="inlineStr">
        <is>
          <t>5 named / 9</t>
        </is>
      </c>
      <c r="O126" t="n">
        <v>307</v>
      </c>
      <c r="P126">
        <f>MAX(O126,Settings!$B$13)*Settings!$B$7</f>
        <v/>
      </c>
      <c r="Q126">
        <f>MAX(O126,Settings!$B$13)*Settings!$B$8</f>
        <v/>
      </c>
      <c r="R126" s="4">
        <f>MAX(P126*Settings!$B$5,IF(ISNUMBER(Settings!$B$12),Settings!$B$12,0))*(1+IF(Settings!$B$11="Y",0,Settings!$B$10/100))+N(Settings!$B$9)</f>
        <v/>
      </c>
      <c r="S126" s="4">
        <f>IF(Q126&gt;1000,"beyond table",IFERROR(LOOKUP(Q126,'FOIS 145A'!$A$2:$A$22,'FOIS 145A'!$C$2:$C$22),""))</f>
        <v/>
      </c>
      <c r="T126" s="4">
        <f>IF(ISNUMBER(S126),S126*(1+IF(Settings!$B$11="Y",0,Settings!$B$10/100))+2*N(Settings!$B$9),"")</f>
        <v/>
      </c>
      <c r="U126">
        <f>IF(ISNUMBER(T126),IF(T126&lt;R126,"Rail","Road"),"")</f>
        <v/>
      </c>
      <c r="V126" s="4">
        <f>IF(ISNUMBER(T126),ABS(R126-T126),"")</f>
        <v/>
      </c>
      <c r="W126">
        <f>IF(OR(ISNUMBER(SEARCH("siding",D126)),ISNUMBER(SEARCH("rcr",D126)),ISNUMBER(SEARCH("rail",D126)),ISNUMBER(SEARCH("wagon",D126))),"Yes - siding/rail in title","Check")</f>
        <v/>
      </c>
      <c r="X126">
        <f>Settings!$B$6</f>
        <v/>
      </c>
    </row>
    <row r="127">
      <c r="A127" t="inlineStr">
        <is>
          <t>C 300-500 km</t>
        </is>
      </c>
      <c r="B127" t="inlineStr">
        <is>
          <t>15640140</t>
        </is>
      </c>
      <c r="C127" t="inlineStr">
        <is>
          <t>GEM/2025/B/6614904</t>
        </is>
      </c>
      <c r="D127" t="inlineStr">
        <is>
          <t>coal transportation from cbcmp mines to bachra railway siding and north karanpura stpp for a period of 01 year</t>
        </is>
      </c>
      <c r="E127" t="inlineStr">
        <is>
          <t>Coal transport (RCR / siding)</t>
        </is>
      </c>
      <c r="F127" t="inlineStr">
        <is>
          <t>National Thermal Power Corporation Limited</t>
        </is>
      </c>
      <c r="G127" t="inlineStr">
        <is>
          <t>Jharkhand</t>
        </is>
      </c>
      <c r="H127" t="inlineStr">
        <is>
          <t>Hazaribagh</t>
        </is>
      </c>
      <c r="I127" t="inlineStr">
        <is>
          <t>2025-10-07</t>
        </is>
      </c>
      <c r="J127" t="inlineStr">
        <is>
          <t>Financial</t>
        </is>
      </c>
      <c r="K127" t="inlineStr">
        <is>
          <t>-</t>
        </is>
      </c>
      <c r="L127" t="inlineStr">
        <is>
          <t>Nkas Services</t>
        </is>
      </c>
      <c r="M127" t="inlineStr">
        <is>
          <t>5 named / 11</t>
        </is>
      </c>
      <c r="O127" t="n">
        <v>307</v>
      </c>
      <c r="P127">
        <f>MAX(O127,Settings!$B$13)*Settings!$B$7</f>
        <v/>
      </c>
      <c r="Q127">
        <f>MAX(O127,Settings!$B$13)*Settings!$B$8</f>
        <v/>
      </c>
      <c r="R127" s="4">
        <f>MAX(P127*Settings!$B$5,IF(ISNUMBER(Settings!$B$12),Settings!$B$12,0))*(1+IF(Settings!$B$11="Y",0,Settings!$B$10/100))+N(Settings!$B$9)</f>
        <v/>
      </c>
      <c r="S127" s="4">
        <f>IF(Q127&gt;1000,"beyond table",IFERROR(LOOKUP(Q127,'FOIS 145A'!$A$2:$A$22,'FOIS 145A'!$C$2:$C$22),""))</f>
        <v/>
      </c>
      <c r="T127" s="4">
        <f>IF(ISNUMBER(S127),S127*(1+IF(Settings!$B$11="Y",0,Settings!$B$10/100))+2*N(Settings!$B$9),"")</f>
        <v/>
      </c>
      <c r="U127">
        <f>IF(ISNUMBER(T127),IF(T127&lt;R127,"Rail","Road"),"")</f>
        <v/>
      </c>
      <c r="V127" s="4">
        <f>IF(ISNUMBER(T127),ABS(R127-T127),"")</f>
        <v/>
      </c>
      <c r="W127">
        <f>IF(OR(ISNUMBER(SEARCH("siding",D127)),ISNUMBER(SEARCH("rcr",D127)),ISNUMBER(SEARCH("rail",D127)),ISNUMBER(SEARCH("wagon",D127))),"Yes - siding/rail in title","Check")</f>
        <v/>
      </c>
      <c r="X127">
        <f>Settings!$B$6</f>
        <v/>
      </c>
    </row>
    <row r="128">
      <c r="A128" t="inlineStr">
        <is>
          <t>C 300-500 km</t>
        </is>
      </c>
      <c r="B128" t="inlineStr">
        <is>
          <t>15629000</t>
        </is>
      </c>
      <c r="C128" t="inlineStr">
        <is>
          <t>GEM/2025/B/6612750</t>
        </is>
      </c>
      <c r="D128" t="inlineStr">
        <is>
          <t>loading, transportation, unloading and wagon loading of coal from surface coal yard of pakri barwadih coal mining project and tp10 stockyard</t>
        </is>
      </c>
      <c r="E128" t="inlineStr">
        <is>
          <t>Coal transport (RCR / siding)</t>
        </is>
      </c>
      <c r="F128" t="inlineStr">
        <is>
          <t>National Thermal Power Corporation Limited</t>
        </is>
      </c>
      <c r="G128" t="inlineStr">
        <is>
          <t>Jharkhand</t>
        </is>
      </c>
      <c r="H128" t="inlineStr">
        <is>
          <t>Hazaribagh</t>
        </is>
      </c>
      <c r="I128" t="inlineStr">
        <is>
          <t>2025-09-29</t>
        </is>
      </c>
      <c r="J128" t="inlineStr">
        <is>
          <t>Financial</t>
        </is>
      </c>
      <c r="K128" t="inlineStr">
        <is>
          <t>-</t>
        </is>
      </c>
      <c r="L128" t="inlineStr"/>
      <c r="M128" t="inlineStr">
        <is>
          <t>5 named / 14</t>
        </is>
      </c>
      <c r="O128" t="n">
        <v>307</v>
      </c>
      <c r="P128">
        <f>MAX(O128,Settings!$B$13)*Settings!$B$7</f>
        <v/>
      </c>
      <c r="Q128">
        <f>MAX(O128,Settings!$B$13)*Settings!$B$8</f>
        <v/>
      </c>
      <c r="R128" s="4">
        <f>MAX(P128*Settings!$B$5,IF(ISNUMBER(Settings!$B$12),Settings!$B$12,0))*(1+IF(Settings!$B$11="Y",0,Settings!$B$10/100))+N(Settings!$B$9)</f>
        <v/>
      </c>
      <c r="S128" s="4">
        <f>IF(Q128&gt;1000,"beyond table",IFERROR(LOOKUP(Q128,'FOIS 145A'!$A$2:$A$22,'FOIS 145A'!$C$2:$C$22),""))</f>
        <v/>
      </c>
      <c r="T128" s="4">
        <f>IF(ISNUMBER(S128),S128*(1+IF(Settings!$B$11="Y",0,Settings!$B$10/100))+2*N(Settings!$B$9),"")</f>
        <v/>
      </c>
      <c r="U128">
        <f>IF(ISNUMBER(T128),IF(T128&lt;R128,"Rail","Road"),"")</f>
        <v/>
      </c>
      <c r="V128" s="4">
        <f>IF(ISNUMBER(T128),ABS(R128-T128),"")</f>
        <v/>
      </c>
      <c r="W128">
        <f>IF(OR(ISNUMBER(SEARCH("siding",D128)),ISNUMBER(SEARCH("rcr",D128)),ISNUMBER(SEARCH("rail",D128)),ISNUMBER(SEARCH("wagon",D128))),"Yes - siding/rail in title","Check")</f>
        <v/>
      </c>
      <c r="X128">
        <f>Settings!$B$6</f>
        <v/>
      </c>
    </row>
    <row r="129">
      <c r="A129" t="inlineStr">
        <is>
          <t>C 300-500 km</t>
        </is>
      </c>
      <c r="B129" t="inlineStr">
        <is>
          <t>15680743</t>
        </is>
      </c>
      <c r="C129" t="inlineStr">
        <is>
          <t>GEM/2025/B/6594464</t>
        </is>
      </c>
      <c r="D129" t="inlineStr">
        <is>
          <t>loading, transportation, unloading and wagon loading of coal from surface coal yard of pb northwest coal mining project to banadag railway s</t>
        </is>
      </c>
      <c r="E129" t="inlineStr">
        <is>
          <t>Coal transport (RCR / siding)</t>
        </is>
      </c>
      <c r="F129" t="inlineStr">
        <is>
          <t>National Thermal Power Corporation Limited</t>
        </is>
      </c>
      <c r="G129" t="inlineStr">
        <is>
          <t>Jharkhand</t>
        </is>
      </c>
      <c r="H129" t="inlineStr">
        <is>
          <t>Hazaribagh</t>
        </is>
      </c>
      <c r="I129" t="inlineStr">
        <is>
          <t>2025-09-29</t>
        </is>
      </c>
      <c r="J129" t="inlineStr">
        <is>
          <t>Financial</t>
        </is>
      </c>
      <c r="K129" t="inlineStr">
        <is>
          <t>-</t>
        </is>
      </c>
      <c r="L129" t="inlineStr">
        <is>
          <t>Nkas Services</t>
        </is>
      </c>
      <c r="M129" t="inlineStr">
        <is>
          <t>5 named / 11</t>
        </is>
      </c>
      <c r="O129" t="n">
        <v>307</v>
      </c>
      <c r="P129">
        <f>MAX(O129,Settings!$B$13)*Settings!$B$7</f>
        <v/>
      </c>
      <c r="Q129">
        <f>MAX(O129,Settings!$B$13)*Settings!$B$8</f>
        <v/>
      </c>
      <c r="R129" s="4">
        <f>MAX(P129*Settings!$B$5,IF(ISNUMBER(Settings!$B$12),Settings!$B$12,0))*(1+IF(Settings!$B$11="Y",0,Settings!$B$10/100))+N(Settings!$B$9)</f>
        <v/>
      </c>
      <c r="S129" s="4">
        <f>IF(Q129&gt;1000,"beyond table",IFERROR(LOOKUP(Q129,'FOIS 145A'!$A$2:$A$22,'FOIS 145A'!$C$2:$C$22),""))</f>
        <v/>
      </c>
      <c r="T129" s="4">
        <f>IF(ISNUMBER(S129),S129*(1+IF(Settings!$B$11="Y",0,Settings!$B$10/100))+2*N(Settings!$B$9),"")</f>
        <v/>
      </c>
      <c r="U129">
        <f>IF(ISNUMBER(T129),IF(T129&lt;R129,"Rail","Road"),"")</f>
        <v/>
      </c>
      <c r="V129" s="4">
        <f>IF(ISNUMBER(T129),ABS(R129-T129),"")</f>
        <v/>
      </c>
      <c r="W129">
        <f>IF(OR(ISNUMBER(SEARCH("siding",D129)),ISNUMBER(SEARCH("rcr",D129)),ISNUMBER(SEARCH("rail",D129)),ISNUMBER(SEARCH("wagon",D129))),"Yes - siding/rail in title","Check")</f>
        <v/>
      </c>
      <c r="X129">
        <f>Settings!$B$6</f>
        <v/>
      </c>
    </row>
    <row r="130">
      <c r="A130" t="inlineStr">
        <is>
          <t>C 300-500 km</t>
        </is>
      </c>
      <c r="B130" t="inlineStr">
        <is>
          <t>14304659</t>
        </is>
      </c>
      <c r="C130" t="inlineStr">
        <is>
          <t>GEM/2025/B/6294275</t>
        </is>
      </c>
      <c r="D130" t="inlineStr">
        <is>
          <t>loading, transportation &amp; unloading and wagon loading of coal from surfac</t>
        </is>
      </c>
      <c r="E130" t="inlineStr">
        <is>
          <t>Coal transport (RCR / siding)</t>
        </is>
      </c>
      <c r="F130" t="inlineStr">
        <is>
          <t>National Thermal Power Corporation Limited</t>
        </is>
      </c>
      <c r="G130" t="inlineStr">
        <is>
          <t>Jharkhand</t>
        </is>
      </c>
      <c r="H130" t="inlineStr">
        <is>
          <t>Hazaribagh</t>
        </is>
      </c>
      <c r="I130" t="inlineStr">
        <is>
          <t>2025-07-01</t>
        </is>
      </c>
      <c r="J130" t="inlineStr">
        <is>
          <t>AOC</t>
        </is>
      </c>
      <c r="K130" t="inlineStr">
        <is>
          <t>Godavari Commodities Limited</t>
        </is>
      </c>
      <c r="L130" t="inlineStr">
        <is>
          <t>Godavari Commodities</t>
        </is>
      </c>
      <c r="M130" t="inlineStr">
        <is>
          <t>5 named / 9</t>
        </is>
      </c>
      <c r="N130" t="n">
        <v>218.44</v>
      </c>
      <c r="O130" t="n">
        <v>307</v>
      </c>
      <c r="P130">
        <f>MAX(O130,Settings!$B$13)*Settings!$B$7</f>
        <v/>
      </c>
      <c r="Q130">
        <f>MAX(O130,Settings!$B$13)*Settings!$B$8</f>
        <v/>
      </c>
      <c r="R130" s="4">
        <f>MAX(P130*Settings!$B$5,IF(ISNUMBER(Settings!$B$12),Settings!$B$12,0))*(1+IF(Settings!$B$11="Y",0,Settings!$B$10/100))+N(Settings!$B$9)</f>
        <v/>
      </c>
      <c r="S130" s="4">
        <f>IF(Q130&gt;1000,"beyond table",IFERROR(LOOKUP(Q130,'FOIS 145A'!$A$2:$A$22,'FOIS 145A'!$C$2:$C$22),""))</f>
        <v/>
      </c>
      <c r="T130" s="4">
        <f>IF(ISNUMBER(S130),S130*(1+IF(Settings!$B$11="Y",0,Settings!$B$10/100))+2*N(Settings!$B$9),"")</f>
        <v/>
      </c>
      <c r="U130">
        <f>IF(ISNUMBER(T130),IF(T130&lt;R130,"Rail","Road"),"")</f>
        <v/>
      </c>
      <c r="V130" s="4">
        <f>IF(ISNUMBER(T130),ABS(R130-T130),"")</f>
        <v/>
      </c>
      <c r="W130">
        <f>IF(OR(ISNUMBER(SEARCH("siding",D130)),ISNUMBER(SEARCH("rcr",D130)),ISNUMBER(SEARCH("rail",D130)),ISNUMBER(SEARCH("wagon",D130))),"Yes - siding/rail in title","Check")</f>
        <v/>
      </c>
      <c r="X130">
        <f>Settings!$B$6</f>
        <v/>
      </c>
    </row>
    <row r="131">
      <c r="A131" t="inlineStr">
        <is>
          <t>C 300-500 km</t>
        </is>
      </c>
      <c r="B131" t="inlineStr">
        <is>
          <t>17714430</t>
        </is>
      </c>
      <c r="C131" t="inlineStr">
        <is>
          <t>GEM/2026/B/7501003</t>
        </is>
      </c>
      <c r="D131" t="inlineStr">
        <is>
          <t>deployment of equipment for rehandling of coal kdcmp- loading of coal into tippers, transportation of coal to crusher</t>
        </is>
      </c>
      <c r="E131" t="inlineStr">
        <is>
          <t>Coal transport (road)</t>
        </is>
      </c>
      <c r="F131" t="inlineStr">
        <is>
          <t>National Thermal Power Corporation Limited</t>
        </is>
      </c>
      <c r="G131" t="inlineStr">
        <is>
          <t>Jharkhand</t>
        </is>
      </c>
      <c r="H131" t="inlineStr">
        <is>
          <t>Hazaribagh</t>
        </is>
      </c>
      <c r="I131" t="inlineStr">
        <is>
          <t>2026-06-02</t>
        </is>
      </c>
      <c r="J131" t="inlineStr">
        <is>
          <t>AOC</t>
        </is>
      </c>
      <c r="K131" t="inlineStr">
        <is>
          <t>Ravindra Enterprises</t>
        </is>
      </c>
      <c r="L131" t="inlineStr"/>
      <c r="M131" t="inlineStr">
        <is>
          <t>5 named / 8</t>
        </is>
      </c>
      <c r="N131" t="n">
        <v>6.85</v>
      </c>
      <c r="O131" t="n">
        <v>307</v>
      </c>
      <c r="P131">
        <f>MAX(O131,Settings!$B$13)*Settings!$B$7</f>
        <v/>
      </c>
      <c r="Q131">
        <f>MAX(O131,Settings!$B$13)*Settings!$B$8</f>
        <v/>
      </c>
      <c r="R131" s="4">
        <f>MAX(P131*Settings!$B$5,IF(ISNUMBER(Settings!$B$12),Settings!$B$12,0))*(1+IF(Settings!$B$11="Y",0,Settings!$B$10/100))+N(Settings!$B$9)</f>
        <v/>
      </c>
      <c r="S131" s="4">
        <f>IF(Q131&gt;1000,"beyond table",IFERROR(LOOKUP(Q131,'FOIS 145A'!$A$2:$A$22,'FOIS 145A'!$C$2:$C$22),""))</f>
        <v/>
      </c>
      <c r="T131" s="4">
        <f>IF(ISNUMBER(S131),S131*(1+IF(Settings!$B$11="Y",0,Settings!$B$10/100))+2*N(Settings!$B$9),"")</f>
        <v/>
      </c>
      <c r="U131">
        <f>IF(ISNUMBER(T131),IF(T131&lt;R131,"Rail","Road"),"")</f>
        <v/>
      </c>
      <c r="V131" s="4">
        <f>IF(ISNUMBER(T131),ABS(R131-T131),"")</f>
        <v/>
      </c>
      <c r="W131">
        <f>IF(OR(ISNUMBER(SEARCH("siding",D131)),ISNUMBER(SEARCH("rcr",D131)),ISNUMBER(SEARCH("rail",D131)),ISNUMBER(SEARCH("wagon",D131))),"Yes - siding/rail in title","Check")</f>
        <v/>
      </c>
      <c r="X131">
        <f>Settings!$B$6</f>
        <v/>
      </c>
    </row>
    <row r="132">
      <c r="A132" t="inlineStr">
        <is>
          <t>C 300-500 km</t>
        </is>
      </c>
      <c r="B132" t="inlineStr">
        <is>
          <t>17404462</t>
        </is>
      </c>
      <c r="C132" t="inlineStr">
        <is>
          <t>GEM/2026/B/7488401</t>
        </is>
      </c>
      <c r="D132" t="inlineStr">
        <is>
          <t>handling service, transport service, handling &amp; transport service, hiring of mobile crusher, tippers, pay- loaders and allied machinery at t</t>
        </is>
      </c>
      <c r="E132" t="inlineStr">
        <is>
          <t>Coal transport (road)</t>
        </is>
      </c>
      <c r="F132" t="inlineStr">
        <is>
          <t>Central Coalfields Limited</t>
        </is>
      </c>
      <c r="G132" t="inlineStr">
        <is>
          <t>Jharkhand</t>
        </is>
      </c>
      <c r="H132" t="inlineStr">
        <is>
          <t>Hazaribagh</t>
        </is>
      </c>
      <c r="I132" t="inlineStr">
        <is>
          <t>2026-05-14</t>
        </is>
      </c>
      <c r="J132" t="inlineStr">
        <is>
          <t>AOC</t>
        </is>
      </c>
      <c r="K132" t="inlineStr">
        <is>
          <t>Aakar Engineers And Contractors</t>
        </is>
      </c>
      <c r="L132" t="inlineStr"/>
      <c r="M132" t="inlineStr">
        <is>
          <t>5 named / 6</t>
        </is>
      </c>
      <c r="N132" t="n">
        <v>3.11</v>
      </c>
      <c r="O132" t="n">
        <v>307</v>
      </c>
      <c r="P132">
        <f>MAX(O132,Settings!$B$13)*Settings!$B$7</f>
        <v/>
      </c>
      <c r="Q132">
        <f>MAX(O132,Settings!$B$13)*Settings!$B$8</f>
        <v/>
      </c>
      <c r="R132" s="4">
        <f>MAX(P132*Settings!$B$5,IF(ISNUMBER(Settings!$B$12),Settings!$B$12,0))*(1+IF(Settings!$B$11="Y",0,Settings!$B$10/100))+N(Settings!$B$9)</f>
        <v/>
      </c>
      <c r="S132" s="4">
        <f>IF(Q132&gt;1000,"beyond table",IFERROR(LOOKUP(Q132,'FOIS 145A'!$A$2:$A$22,'FOIS 145A'!$C$2:$C$22),""))</f>
        <v/>
      </c>
      <c r="T132" s="4">
        <f>IF(ISNUMBER(S132),S132*(1+IF(Settings!$B$11="Y",0,Settings!$B$10/100))+2*N(Settings!$B$9),"")</f>
        <v/>
      </c>
      <c r="U132">
        <f>IF(ISNUMBER(T132),IF(T132&lt;R132,"Rail","Road"),"")</f>
        <v/>
      </c>
      <c r="V132" s="4">
        <f>IF(ISNUMBER(T132),ABS(R132-T132),"")</f>
        <v/>
      </c>
      <c r="W132">
        <f>IF(OR(ISNUMBER(SEARCH("siding",D132)),ISNUMBER(SEARCH("rcr",D132)),ISNUMBER(SEARCH("rail",D132)),ISNUMBER(SEARCH("wagon",D132))),"Yes - siding/rail in title","Check")</f>
        <v/>
      </c>
      <c r="X132">
        <f>Settings!$B$6</f>
        <v/>
      </c>
    </row>
    <row r="133">
      <c r="A133" t="inlineStr">
        <is>
          <t>C 300-500 km</t>
        </is>
      </c>
      <c r="B133" t="inlineStr">
        <is>
          <t>14313903</t>
        </is>
      </c>
      <c r="C133" t="inlineStr">
        <is>
          <t>GEM/2025/B/6335550</t>
        </is>
      </c>
      <c r="D133" t="inlineStr">
        <is>
          <t>coal transportation from surface coal yard of kerandari cmp to ntpc north</t>
        </is>
      </c>
      <c r="E133" t="inlineStr">
        <is>
          <t>Coal transport (road)</t>
        </is>
      </c>
      <c r="F133" t="inlineStr">
        <is>
          <t>National Thermal Power Corporation Limited</t>
        </is>
      </c>
      <c r="G133" t="inlineStr">
        <is>
          <t>Jharkhand</t>
        </is>
      </c>
      <c r="H133" t="inlineStr">
        <is>
          <t>Hazaribagh</t>
        </is>
      </c>
      <c r="I133" t="inlineStr">
        <is>
          <t>2025-06-26</t>
        </is>
      </c>
      <c r="J133" t="inlineStr">
        <is>
          <t>Financial</t>
        </is>
      </c>
      <c r="K133" t="inlineStr">
        <is>
          <t>-</t>
        </is>
      </c>
      <c r="L133" t="inlineStr">
        <is>
          <t>Godavari Commodities</t>
        </is>
      </c>
      <c r="M133" t="inlineStr">
        <is>
          <t>5 named / 9</t>
        </is>
      </c>
      <c r="O133" t="n">
        <v>307</v>
      </c>
      <c r="P133">
        <f>MAX(O133,Settings!$B$13)*Settings!$B$7</f>
        <v/>
      </c>
      <c r="Q133">
        <f>MAX(O133,Settings!$B$13)*Settings!$B$8</f>
        <v/>
      </c>
      <c r="R133" s="4">
        <f>MAX(P133*Settings!$B$5,IF(ISNUMBER(Settings!$B$12),Settings!$B$12,0))*(1+IF(Settings!$B$11="Y",0,Settings!$B$10/100))+N(Settings!$B$9)</f>
        <v/>
      </c>
      <c r="S133" s="4">
        <f>IF(Q133&gt;1000,"beyond table",IFERROR(LOOKUP(Q133,'FOIS 145A'!$A$2:$A$22,'FOIS 145A'!$C$2:$C$22),""))</f>
        <v/>
      </c>
      <c r="T133" s="4">
        <f>IF(ISNUMBER(S133),S133*(1+IF(Settings!$B$11="Y",0,Settings!$B$10/100))+2*N(Settings!$B$9),"")</f>
        <v/>
      </c>
      <c r="U133">
        <f>IF(ISNUMBER(T133),IF(T133&lt;R133,"Rail","Road"),"")</f>
        <v/>
      </c>
      <c r="V133" s="4">
        <f>IF(ISNUMBER(T133),ABS(R133-T133),"")</f>
        <v/>
      </c>
      <c r="W133">
        <f>IF(OR(ISNUMBER(SEARCH("siding",D133)),ISNUMBER(SEARCH("rcr",D133)),ISNUMBER(SEARCH("rail",D133)),ISNUMBER(SEARCH("wagon",D133))),"Yes - siding/rail in title","Check")</f>
        <v/>
      </c>
      <c r="X133">
        <f>Settings!$B$6</f>
        <v/>
      </c>
    </row>
    <row r="134">
      <c r="A134" t="inlineStr">
        <is>
          <t>C 300-500 km</t>
        </is>
      </c>
      <c r="B134" t="inlineStr">
        <is>
          <t>13439977</t>
        </is>
      </c>
      <c r="C134" t="inlineStr">
        <is>
          <t>GEM/2025/B/5892212</t>
        </is>
      </c>
      <c r="D134" t="inlineStr">
        <is>
          <t>loading and transportation of coal from ntpc kerandari and chatti bariatu</t>
        </is>
      </c>
      <c r="E134" t="inlineStr">
        <is>
          <t>Coal transport (road)</t>
        </is>
      </c>
      <c r="F134" t="inlineStr">
        <is>
          <t>National Thermal Power Corporation Limited</t>
        </is>
      </c>
      <c r="G134" t="inlineStr">
        <is>
          <t>Jharkhand</t>
        </is>
      </c>
      <c r="H134" t="inlineStr">
        <is>
          <t>Hazaribagh</t>
        </is>
      </c>
      <c r="I134" t="inlineStr">
        <is>
          <t>2025-02-21</t>
        </is>
      </c>
      <c r="J134" t="inlineStr">
        <is>
          <t>AOC</t>
        </is>
      </c>
      <c r="K134" t="inlineStr">
        <is>
          <t>Jai Ambey Roadlines Private Limited</t>
        </is>
      </c>
      <c r="L134" t="inlineStr">
        <is>
          <t>Godavari Commodities</t>
        </is>
      </c>
      <c r="M134" t="inlineStr">
        <is>
          <t>5 named / 7</t>
        </is>
      </c>
      <c r="N134" t="n">
        <v>889.9</v>
      </c>
      <c r="O134" t="n">
        <v>307</v>
      </c>
      <c r="P134">
        <f>MAX(O134,Settings!$B$13)*Settings!$B$7</f>
        <v/>
      </c>
      <c r="Q134">
        <f>MAX(O134,Settings!$B$13)*Settings!$B$8</f>
        <v/>
      </c>
      <c r="R134" s="4">
        <f>MAX(P134*Settings!$B$5,IF(ISNUMBER(Settings!$B$12),Settings!$B$12,0))*(1+IF(Settings!$B$11="Y",0,Settings!$B$10/100))+N(Settings!$B$9)</f>
        <v/>
      </c>
      <c r="S134" s="4">
        <f>IF(Q134&gt;1000,"beyond table",IFERROR(LOOKUP(Q134,'FOIS 145A'!$A$2:$A$22,'FOIS 145A'!$C$2:$C$22),""))</f>
        <v/>
      </c>
      <c r="T134" s="4">
        <f>IF(ISNUMBER(S134),S134*(1+IF(Settings!$B$11="Y",0,Settings!$B$10/100))+2*N(Settings!$B$9),"")</f>
        <v/>
      </c>
      <c r="U134">
        <f>IF(ISNUMBER(T134),IF(T134&lt;R134,"Rail","Road"),"")</f>
        <v/>
      </c>
      <c r="V134" s="4">
        <f>IF(ISNUMBER(T134),ABS(R134-T134),"")</f>
        <v/>
      </c>
      <c r="W134">
        <f>IF(OR(ISNUMBER(SEARCH("siding",D134)),ISNUMBER(SEARCH("rcr",D134)),ISNUMBER(SEARCH("rail",D134)),ISNUMBER(SEARCH("wagon",D134))),"Yes - siding/rail in title","Check")</f>
        <v/>
      </c>
      <c r="X134">
        <f>Settings!$B$6</f>
        <v/>
      </c>
    </row>
    <row r="135">
      <c r="A135" t="inlineStr">
        <is>
          <t>C 300-500 km</t>
        </is>
      </c>
      <c r="B135" t="inlineStr">
        <is>
          <t>14270223</t>
        </is>
      </c>
      <c r="C135" t="inlineStr">
        <is>
          <t>GEM/2025/B/6302821</t>
        </is>
      </c>
      <c r="D135" t="inlineStr">
        <is>
          <t>deployment of equipments on per ton basis for handling / re-handling of c</t>
        </is>
      </c>
      <c r="E135" t="inlineStr">
        <is>
          <t>Loading / handling / crushing</t>
        </is>
      </c>
      <c r="F135" t="inlineStr">
        <is>
          <t>National Thermal Power Corporation Limited</t>
        </is>
      </c>
      <c r="G135" t="inlineStr">
        <is>
          <t>Jharkhand</t>
        </is>
      </c>
      <c r="H135" t="inlineStr">
        <is>
          <t>Hazaribagh</t>
        </is>
      </c>
      <c r="I135" t="inlineStr">
        <is>
          <t>2025-06-24</t>
        </is>
      </c>
      <c r="J135" t="inlineStr">
        <is>
          <t>AOC</t>
        </is>
      </c>
      <c r="K135" t="inlineStr">
        <is>
          <t>B Y Enterprises</t>
        </is>
      </c>
      <c r="L135" t="inlineStr"/>
      <c r="M135" t="inlineStr">
        <is>
          <t>5 named / 10</t>
        </is>
      </c>
      <c r="N135" t="n">
        <v>2.32</v>
      </c>
      <c r="O135" t="n">
        <v>307</v>
      </c>
      <c r="P135">
        <f>MAX(O135,Settings!$B$13)*Settings!$B$7</f>
        <v/>
      </c>
      <c r="Q135">
        <f>MAX(O135,Settings!$B$13)*Settings!$B$8</f>
        <v/>
      </c>
      <c r="R135" s="4">
        <f>MAX(P135*Settings!$B$5,IF(ISNUMBER(Settings!$B$12),Settings!$B$12,0))*(1+IF(Settings!$B$11="Y",0,Settings!$B$10/100))+N(Settings!$B$9)</f>
        <v/>
      </c>
      <c r="S135" s="4">
        <f>IF(Q135&gt;1000,"beyond table",IFERROR(LOOKUP(Q135,'FOIS 145A'!$A$2:$A$22,'FOIS 145A'!$C$2:$C$22),""))</f>
        <v/>
      </c>
      <c r="T135" s="4">
        <f>IF(ISNUMBER(S135),S135*(1+IF(Settings!$B$11="Y",0,Settings!$B$10/100))+2*N(Settings!$B$9),"")</f>
        <v/>
      </c>
      <c r="U135">
        <f>IF(ISNUMBER(T135),IF(T135&lt;R135,"Rail","Road"),"")</f>
        <v/>
      </c>
      <c r="V135" s="4">
        <f>IF(ISNUMBER(T135),ABS(R135-T135),"")</f>
        <v/>
      </c>
      <c r="W135">
        <f>IF(OR(ISNUMBER(SEARCH("siding",D135)),ISNUMBER(SEARCH("rcr",D135)),ISNUMBER(SEARCH("rail",D135)),ISNUMBER(SEARCH("wagon",D135))),"Yes - siding/rail in title","Check")</f>
        <v/>
      </c>
      <c r="X135">
        <f>Settings!$B$6</f>
        <v/>
      </c>
    </row>
    <row r="136">
      <c r="A136" t="inlineStr">
        <is>
          <t>C 300-500 km</t>
        </is>
      </c>
      <c r="B136" t="inlineStr">
        <is>
          <t>15858366</t>
        </is>
      </c>
      <c r="C136" t="inlineStr">
        <is>
          <t>GEM/2025/B/6553471</t>
        </is>
      </c>
      <c r="D136" t="inlineStr">
        <is>
          <t>handling service, handling &amp; transport service, ob removal, coal extraction, hiring of hemm for removal of ob and extraction and transportat</t>
        </is>
      </c>
      <c r="E136" t="inlineStr">
        <is>
          <t>Mining services (OB / extraction)</t>
        </is>
      </c>
      <c r="F136" t="inlineStr">
        <is>
          <t>Central Coalfields Limited</t>
        </is>
      </c>
      <c r="G136" t="inlineStr">
        <is>
          <t>Jharkhand</t>
        </is>
      </c>
      <c r="H136" t="inlineStr">
        <is>
          <t>Hazaribagh</t>
        </is>
      </c>
      <c r="I136" t="inlineStr">
        <is>
          <t>2025-09-01</t>
        </is>
      </c>
      <c r="J136" t="inlineStr">
        <is>
          <t>AOC</t>
        </is>
      </c>
      <c r="K136" t="inlineStr">
        <is>
          <t>Jarpl-At Consortium</t>
        </is>
      </c>
      <c r="L136" t="inlineStr"/>
      <c r="M136" t="inlineStr">
        <is>
          <t>5 named / 21</t>
        </is>
      </c>
      <c r="N136" t="n">
        <v>379.2</v>
      </c>
      <c r="O136" t="n">
        <v>307</v>
      </c>
      <c r="P136">
        <f>MAX(O136,Settings!$B$13)*Settings!$B$7</f>
        <v/>
      </c>
      <c r="Q136">
        <f>MAX(O136,Settings!$B$13)*Settings!$B$8</f>
        <v/>
      </c>
      <c r="R136" s="4">
        <f>MAX(P136*Settings!$B$5,IF(ISNUMBER(Settings!$B$12),Settings!$B$12,0))*(1+IF(Settings!$B$11="Y",0,Settings!$B$10/100))+N(Settings!$B$9)</f>
        <v/>
      </c>
      <c r="S136" s="4">
        <f>IF(Q136&gt;1000,"beyond table",IFERROR(LOOKUP(Q136,'FOIS 145A'!$A$2:$A$22,'FOIS 145A'!$C$2:$C$22),""))</f>
        <v/>
      </c>
      <c r="T136" s="4">
        <f>IF(ISNUMBER(S136),S136*(1+IF(Settings!$B$11="Y",0,Settings!$B$10/100))+2*N(Settings!$B$9),"")</f>
        <v/>
      </c>
      <c r="U136">
        <f>IF(ISNUMBER(T136),IF(T136&lt;R136,"Rail","Road"),"")</f>
        <v/>
      </c>
      <c r="V136" s="4">
        <f>IF(ISNUMBER(T136),ABS(R136-T136),"")</f>
        <v/>
      </c>
      <c r="W136">
        <f>IF(OR(ISNUMBER(SEARCH("siding",D136)),ISNUMBER(SEARCH("rcr",D136)),ISNUMBER(SEARCH("rail",D136)),ISNUMBER(SEARCH("wagon",D136))),"Yes - siding/rail in title","Check")</f>
        <v/>
      </c>
      <c r="X136">
        <f>Settings!$B$6</f>
        <v/>
      </c>
    </row>
    <row r="137">
      <c r="A137" t="inlineStr">
        <is>
          <t>C 300-500 km</t>
        </is>
      </c>
      <c r="B137" t="inlineStr">
        <is>
          <t>16606281</t>
        </is>
      </c>
      <c r="C137" t="inlineStr">
        <is>
          <t>GEM/2026/B/7087494</t>
        </is>
      </c>
      <c r="D137" t="inlineStr">
        <is>
          <t>handling service, transport service, handling &amp; transport service, loading and transportation of 75,000 te of coal from tapin north ocp coal</t>
        </is>
      </c>
      <c r="E137" t="inlineStr">
        <is>
          <t>Washery / beneficiation</t>
        </is>
      </c>
      <c r="F137" t="inlineStr">
        <is>
          <t>Central Coalfields Limited</t>
        </is>
      </c>
      <c r="G137" t="inlineStr">
        <is>
          <t>Jharkhand</t>
        </is>
      </c>
      <c r="H137" t="inlineStr">
        <is>
          <t>Hazaribagh</t>
        </is>
      </c>
      <c r="I137" t="inlineStr">
        <is>
          <t>2026-01-23</t>
        </is>
      </c>
      <c r="J137" t="inlineStr">
        <is>
          <t>AOC</t>
        </is>
      </c>
      <c r="K137" t="inlineStr">
        <is>
          <t>Jai Ma Tara Projects</t>
        </is>
      </c>
      <c r="L137" t="inlineStr"/>
      <c r="M137" t="inlineStr">
        <is>
          <t>5 named / 8</t>
        </is>
      </c>
      <c r="N137" t="n">
        <v>0.93</v>
      </c>
      <c r="O137" t="n">
        <v>307</v>
      </c>
      <c r="P137">
        <f>MAX(O137,Settings!$B$13)*Settings!$B$7</f>
        <v/>
      </c>
      <c r="Q137">
        <f>MAX(O137,Settings!$B$13)*Settings!$B$8</f>
        <v/>
      </c>
      <c r="R137" s="4">
        <f>MAX(P137*Settings!$B$5,IF(ISNUMBER(Settings!$B$12),Settings!$B$12,0))*(1+IF(Settings!$B$11="Y",0,Settings!$B$10/100))+N(Settings!$B$9)</f>
        <v/>
      </c>
      <c r="S137" s="4">
        <f>IF(Q137&gt;1000,"beyond table",IFERROR(LOOKUP(Q137,'FOIS 145A'!$A$2:$A$22,'FOIS 145A'!$C$2:$C$22),""))</f>
        <v/>
      </c>
      <c r="T137" s="4">
        <f>IF(ISNUMBER(S137),S137*(1+IF(Settings!$B$11="Y",0,Settings!$B$10/100))+2*N(Settings!$B$9),"")</f>
        <v/>
      </c>
      <c r="U137">
        <f>IF(ISNUMBER(T137),IF(T137&lt;R137,"Rail","Road"),"")</f>
        <v/>
      </c>
      <c r="V137" s="4">
        <f>IF(ISNUMBER(T137),ABS(R137-T137),"")</f>
        <v/>
      </c>
      <c r="W137">
        <f>IF(OR(ISNUMBER(SEARCH("siding",D137)),ISNUMBER(SEARCH("rcr",D137)),ISNUMBER(SEARCH("rail",D137)),ISNUMBER(SEARCH("wagon",D137))),"Yes - siding/rail in title","Check")</f>
        <v/>
      </c>
      <c r="X137">
        <f>Settings!$B$6</f>
        <v/>
      </c>
    </row>
    <row r="138">
      <c r="A138" t="inlineStr">
        <is>
          <t>C 300-500 km</t>
        </is>
      </c>
      <c r="B138" t="inlineStr">
        <is>
          <t>16008731</t>
        </is>
      </c>
      <c r="C138" t="inlineStr">
        <is>
          <t>GEM/2025/B/6799953</t>
        </is>
      </c>
      <c r="D138" t="inlineStr">
        <is>
          <t>handling service, transport service, handling &amp; transport service, loading of coal by contractor’s pay loader into contractor’s tipping truc</t>
        </is>
      </c>
      <c r="E138" t="inlineStr">
        <is>
          <t>Washery / beneficiation</t>
        </is>
      </c>
      <c r="F138" t="inlineStr">
        <is>
          <t>Central Coalfields Limited</t>
        </is>
      </c>
      <c r="G138" t="inlineStr">
        <is>
          <t>Jharkhand</t>
        </is>
      </c>
      <c r="H138" t="inlineStr">
        <is>
          <t>Hazaribagh</t>
        </is>
      </c>
      <c r="I138" t="inlineStr">
        <is>
          <t>2025-10-31</t>
        </is>
      </c>
      <c r="J138" t="inlineStr">
        <is>
          <t>AOC</t>
        </is>
      </c>
      <c r="K138" t="inlineStr">
        <is>
          <t>Rajeev Transport Coal Agency</t>
        </is>
      </c>
      <c r="L138" t="inlineStr"/>
      <c r="M138" t="inlineStr">
        <is>
          <t>5 named / 12</t>
        </is>
      </c>
      <c r="N138" t="n">
        <v>39.18</v>
      </c>
      <c r="O138" t="n">
        <v>307</v>
      </c>
      <c r="P138">
        <f>MAX(O138,Settings!$B$13)*Settings!$B$7</f>
        <v/>
      </c>
      <c r="Q138">
        <f>MAX(O138,Settings!$B$13)*Settings!$B$8</f>
        <v/>
      </c>
      <c r="R138" s="4">
        <f>MAX(P138*Settings!$B$5,IF(ISNUMBER(Settings!$B$12),Settings!$B$12,0))*(1+IF(Settings!$B$11="Y",0,Settings!$B$10/100))+N(Settings!$B$9)</f>
        <v/>
      </c>
      <c r="S138" s="4">
        <f>IF(Q138&gt;1000,"beyond table",IFERROR(LOOKUP(Q138,'FOIS 145A'!$A$2:$A$22,'FOIS 145A'!$C$2:$C$22),""))</f>
        <v/>
      </c>
      <c r="T138" s="4">
        <f>IF(ISNUMBER(S138),S138*(1+IF(Settings!$B$11="Y",0,Settings!$B$10/100))+2*N(Settings!$B$9),"")</f>
        <v/>
      </c>
      <c r="U138">
        <f>IF(ISNUMBER(T138),IF(T138&lt;R138,"Rail","Road"),"")</f>
        <v/>
      </c>
      <c r="V138" s="4">
        <f>IF(ISNUMBER(T138),ABS(R138-T138),"")</f>
        <v/>
      </c>
      <c r="W138">
        <f>IF(OR(ISNUMBER(SEARCH("siding",D138)),ISNUMBER(SEARCH("rcr",D138)),ISNUMBER(SEARCH("rail",D138)),ISNUMBER(SEARCH("wagon",D138))),"Yes - siding/rail in title","Check")</f>
        <v/>
      </c>
      <c r="X138">
        <f>Settings!$B$6</f>
        <v/>
      </c>
    </row>
    <row r="139">
      <c r="A139" t="inlineStr">
        <is>
          <t>C 300-500 km</t>
        </is>
      </c>
      <c r="B139" t="inlineStr">
        <is>
          <t>18325913</t>
        </is>
      </c>
      <c r="C139" t="inlineStr">
        <is>
          <t>GEM/2026/B/7928927</t>
        </is>
      </c>
      <c r="D139" t="inlineStr">
        <is>
          <t>supply of - steam coal (q3) -  | quantity - 11500</t>
        </is>
      </c>
      <c r="E139" t="inlineStr">
        <is>
          <t>Coal supply</t>
        </is>
      </c>
      <c r="F139" t="inlineStr">
        <is>
          <t>Indian Rare Earths Limited</t>
        </is>
      </c>
      <c r="G139" t="inlineStr">
        <is>
          <t>Orissa</t>
        </is>
      </c>
      <c r="H139" t="inlineStr">
        <is>
          <t>Ganjam</t>
        </is>
      </c>
      <c r="I139" t="inlineStr">
        <is>
          <t>2026-09-12</t>
        </is>
      </c>
      <c r="J139" t="inlineStr">
        <is>
          <t>Financial</t>
        </is>
      </c>
      <c r="K139" t="inlineStr">
        <is>
          <t>-</t>
        </is>
      </c>
      <c r="L139" t="inlineStr">
        <is>
          <t>Godavari Commodities, Mohit Minerals</t>
        </is>
      </c>
      <c r="M139" t="inlineStr">
        <is>
          <t>5 named / 6</t>
        </is>
      </c>
      <c r="O139" t="n">
        <v>309</v>
      </c>
      <c r="P139">
        <f>MAX(O139,Settings!$B$13)*Settings!$B$7</f>
        <v/>
      </c>
      <c r="Q139">
        <f>MAX(O139,Settings!$B$13)*Settings!$B$8</f>
        <v/>
      </c>
      <c r="R139" s="4">
        <f>MAX(P139*Settings!$B$5,IF(ISNUMBER(Settings!$B$12),Settings!$B$12,0))*(1+IF(Settings!$B$11="Y",0,Settings!$B$10/100))+N(Settings!$B$9)</f>
        <v/>
      </c>
      <c r="S139" s="4">
        <f>IF(Q139&gt;1000,"beyond table",IFERROR(LOOKUP(Q139,'FOIS 145A'!$A$2:$A$22,'FOIS 145A'!$C$2:$C$22),""))</f>
        <v/>
      </c>
      <c r="T139" s="4">
        <f>IF(ISNUMBER(S139),S139*(1+IF(Settings!$B$11="Y",0,Settings!$B$10/100))+2*N(Settings!$B$9),"")</f>
        <v/>
      </c>
      <c r="U139">
        <f>IF(ISNUMBER(T139),IF(T139&lt;R139,"Rail","Road"),"")</f>
        <v/>
      </c>
      <c r="V139" s="4">
        <f>IF(ISNUMBER(T139),ABS(R139-T139),"")</f>
        <v/>
      </c>
      <c r="W139">
        <f>IF(OR(ISNUMBER(SEARCH("siding",D139)),ISNUMBER(SEARCH("rcr",D139)),ISNUMBER(SEARCH("rail",D139)),ISNUMBER(SEARCH("wagon",D139))),"Yes - siding/rail in title","Check")</f>
        <v/>
      </c>
      <c r="X139">
        <f>Settings!$B$6</f>
        <v/>
      </c>
    </row>
    <row r="140">
      <c r="A140" t="inlineStr">
        <is>
          <t>C 300-500 km</t>
        </is>
      </c>
      <c r="B140" t="inlineStr">
        <is>
          <t>17284876</t>
        </is>
      </c>
      <c r="C140" t="inlineStr">
        <is>
          <t>GEM/2026/B/7416658</t>
        </is>
      </c>
      <c r="D140" t="inlineStr">
        <is>
          <t>supply of - steam coal (q3) -  | quantity - 11500</t>
        </is>
      </c>
      <c r="E140" t="inlineStr">
        <is>
          <t>Coal supply</t>
        </is>
      </c>
      <c r="F140" t="inlineStr">
        <is>
          <t>Indian Rare Earths Limited</t>
        </is>
      </c>
      <c r="G140" t="inlineStr">
        <is>
          <t>Orissa</t>
        </is>
      </c>
      <c r="H140" t="inlineStr">
        <is>
          <t>Ganjam</t>
        </is>
      </c>
      <c r="I140" t="inlineStr">
        <is>
          <t>2026-04-30</t>
        </is>
      </c>
      <c r="J140" t="inlineStr">
        <is>
          <t>Financial</t>
        </is>
      </c>
      <c r="K140" t="inlineStr">
        <is>
          <t>-</t>
        </is>
      </c>
      <c r="L140" t="inlineStr">
        <is>
          <t>Godavari Commodities</t>
        </is>
      </c>
      <c r="M140" t="inlineStr">
        <is>
          <t>5 named / 9</t>
        </is>
      </c>
      <c r="O140" t="n">
        <v>309</v>
      </c>
      <c r="P140">
        <f>MAX(O140,Settings!$B$13)*Settings!$B$7</f>
        <v/>
      </c>
      <c r="Q140">
        <f>MAX(O140,Settings!$B$13)*Settings!$B$8</f>
        <v/>
      </c>
      <c r="R140" s="4">
        <f>MAX(P140*Settings!$B$5,IF(ISNUMBER(Settings!$B$12),Settings!$B$12,0))*(1+IF(Settings!$B$11="Y",0,Settings!$B$10/100))+N(Settings!$B$9)</f>
        <v/>
      </c>
      <c r="S140" s="4">
        <f>IF(Q140&gt;1000,"beyond table",IFERROR(LOOKUP(Q140,'FOIS 145A'!$A$2:$A$22,'FOIS 145A'!$C$2:$C$22),""))</f>
        <v/>
      </c>
      <c r="T140" s="4">
        <f>IF(ISNUMBER(S140),S140*(1+IF(Settings!$B$11="Y",0,Settings!$B$10/100))+2*N(Settings!$B$9),"")</f>
        <v/>
      </c>
      <c r="U140">
        <f>IF(ISNUMBER(T140),IF(T140&lt;R140,"Rail","Road"),"")</f>
        <v/>
      </c>
      <c r="V140" s="4">
        <f>IF(ISNUMBER(T140),ABS(R140-T140),"")</f>
        <v/>
      </c>
      <c r="W140">
        <f>IF(OR(ISNUMBER(SEARCH("siding",D140)),ISNUMBER(SEARCH("rcr",D140)),ISNUMBER(SEARCH("rail",D140)),ISNUMBER(SEARCH("wagon",D140))),"Yes - siding/rail in title","Check")</f>
        <v/>
      </c>
      <c r="X140">
        <f>Settings!$B$6</f>
        <v/>
      </c>
    </row>
    <row r="141">
      <c r="A141" t="inlineStr">
        <is>
          <t>C 300-500 km</t>
        </is>
      </c>
      <c r="B141" t="inlineStr">
        <is>
          <t>16020026</t>
        </is>
      </c>
      <c r="C141" t="inlineStr">
        <is>
          <t>GEM/2025/B/6868675</t>
        </is>
      </c>
      <c r="D141" t="inlineStr">
        <is>
          <t>supply of - steam coal (q3) -  | quantity - 11500</t>
        </is>
      </c>
      <c r="E141" t="inlineStr">
        <is>
          <t>Coal supply</t>
        </is>
      </c>
      <c r="F141" t="inlineStr">
        <is>
          <t>Indian Rare Earths Limited</t>
        </is>
      </c>
      <c r="G141" t="inlineStr">
        <is>
          <t>Orissa</t>
        </is>
      </c>
      <c r="H141" t="inlineStr">
        <is>
          <t>Ganjam</t>
        </is>
      </c>
      <c r="I141" t="inlineStr">
        <is>
          <t>2025-12-03</t>
        </is>
      </c>
      <c r="J141" t="inlineStr">
        <is>
          <t>Financial</t>
        </is>
      </c>
      <c r="K141" t="inlineStr">
        <is>
          <t>-</t>
        </is>
      </c>
      <c r="L141" t="inlineStr">
        <is>
          <t>Godavari Commodities</t>
        </is>
      </c>
      <c r="M141" t="inlineStr">
        <is>
          <t>5 named / 9</t>
        </is>
      </c>
      <c r="O141" t="n">
        <v>309</v>
      </c>
      <c r="P141">
        <f>MAX(O141,Settings!$B$13)*Settings!$B$7</f>
        <v/>
      </c>
      <c r="Q141">
        <f>MAX(O141,Settings!$B$13)*Settings!$B$8</f>
        <v/>
      </c>
      <c r="R141" s="4">
        <f>MAX(P141*Settings!$B$5,IF(ISNUMBER(Settings!$B$12),Settings!$B$12,0))*(1+IF(Settings!$B$11="Y",0,Settings!$B$10/100))+N(Settings!$B$9)</f>
        <v/>
      </c>
      <c r="S141" s="4">
        <f>IF(Q141&gt;1000,"beyond table",IFERROR(LOOKUP(Q141,'FOIS 145A'!$A$2:$A$22,'FOIS 145A'!$C$2:$C$22),""))</f>
        <v/>
      </c>
      <c r="T141" s="4">
        <f>IF(ISNUMBER(S141),S141*(1+IF(Settings!$B$11="Y",0,Settings!$B$10/100))+2*N(Settings!$B$9),"")</f>
        <v/>
      </c>
      <c r="U141">
        <f>IF(ISNUMBER(T141),IF(T141&lt;R141,"Rail","Road"),"")</f>
        <v/>
      </c>
      <c r="V141" s="4">
        <f>IF(ISNUMBER(T141),ABS(R141-T141),"")</f>
        <v/>
      </c>
      <c r="W141">
        <f>IF(OR(ISNUMBER(SEARCH("siding",D141)),ISNUMBER(SEARCH("rcr",D141)),ISNUMBER(SEARCH("rail",D141)),ISNUMBER(SEARCH("wagon",D141))),"Yes - siding/rail in title","Check")</f>
        <v/>
      </c>
      <c r="X141">
        <f>Settings!$B$6</f>
        <v/>
      </c>
    </row>
    <row r="142">
      <c r="A142" t="inlineStr">
        <is>
          <t>C 300-500 km</t>
        </is>
      </c>
      <c r="B142" t="inlineStr">
        <is>
          <t>15112753</t>
        </is>
      </c>
      <c r="C142" t="inlineStr">
        <is>
          <t>GEM/2025/B/6540145</t>
        </is>
      </c>
      <c r="D142" t="inlineStr">
        <is>
          <t>supply of - steam coal (q3) | quantity - 11500</t>
        </is>
      </c>
      <c r="E142" t="inlineStr">
        <is>
          <t>Coal supply</t>
        </is>
      </c>
      <c r="F142" t="inlineStr">
        <is>
          <t>Indian Rare Earths Limited</t>
        </is>
      </c>
      <c r="G142" t="inlineStr">
        <is>
          <t>Orissa</t>
        </is>
      </c>
      <c r="H142" t="inlineStr">
        <is>
          <t>Ganjam</t>
        </is>
      </c>
      <c r="I142" t="inlineStr">
        <is>
          <t>2025-08-28</t>
        </is>
      </c>
      <c r="J142" t="inlineStr">
        <is>
          <t>Financial</t>
        </is>
      </c>
      <c r="K142" t="inlineStr">
        <is>
          <t>-</t>
        </is>
      </c>
      <c r="L142" t="inlineStr">
        <is>
          <t>Godavari Commodities</t>
        </is>
      </c>
      <c r="M142" t="inlineStr">
        <is>
          <t>5 named / 8</t>
        </is>
      </c>
      <c r="O142" t="n">
        <v>309</v>
      </c>
      <c r="P142">
        <f>MAX(O142,Settings!$B$13)*Settings!$B$7</f>
        <v/>
      </c>
      <c r="Q142">
        <f>MAX(O142,Settings!$B$13)*Settings!$B$8</f>
        <v/>
      </c>
      <c r="R142" s="4">
        <f>MAX(P142*Settings!$B$5,IF(ISNUMBER(Settings!$B$12),Settings!$B$12,0))*(1+IF(Settings!$B$11="Y",0,Settings!$B$10/100))+N(Settings!$B$9)</f>
        <v/>
      </c>
      <c r="S142" s="4">
        <f>IF(Q142&gt;1000,"beyond table",IFERROR(LOOKUP(Q142,'FOIS 145A'!$A$2:$A$22,'FOIS 145A'!$C$2:$C$22),""))</f>
        <v/>
      </c>
      <c r="T142" s="4">
        <f>IF(ISNUMBER(S142),S142*(1+IF(Settings!$B$11="Y",0,Settings!$B$10/100))+2*N(Settings!$B$9),"")</f>
        <v/>
      </c>
      <c r="U142">
        <f>IF(ISNUMBER(T142),IF(T142&lt;R142,"Rail","Road"),"")</f>
        <v/>
      </c>
      <c r="V142" s="4">
        <f>IF(ISNUMBER(T142),ABS(R142-T142),"")</f>
        <v/>
      </c>
      <c r="W142">
        <f>IF(OR(ISNUMBER(SEARCH("siding",D142)),ISNUMBER(SEARCH("rcr",D142)),ISNUMBER(SEARCH("rail",D142)),ISNUMBER(SEARCH("wagon",D142))),"Yes - siding/rail in title","Check")</f>
        <v/>
      </c>
      <c r="X142">
        <f>Settings!$B$6</f>
        <v/>
      </c>
    </row>
    <row r="143">
      <c r="A143" t="inlineStr">
        <is>
          <t>C 300-500 km</t>
        </is>
      </c>
      <c r="B143" t="inlineStr">
        <is>
          <t>12546101</t>
        </is>
      </c>
      <c r="C143" t="inlineStr">
        <is>
          <t>GEM/2025/B/5798333</t>
        </is>
      </c>
      <c r="D143" t="inlineStr">
        <is>
          <t>steam coal,steam coal</t>
        </is>
      </c>
      <c r="E143" t="inlineStr">
        <is>
          <t>Coal supply</t>
        </is>
      </c>
      <c r="F143" t="inlineStr">
        <is>
          <t>Indian Rare Earths Limited</t>
        </is>
      </c>
      <c r="G143" t="inlineStr">
        <is>
          <t>Orissa</t>
        </is>
      </c>
      <c r="H143" t="inlineStr">
        <is>
          <t>Ganjam</t>
        </is>
      </c>
      <c r="I143" t="inlineStr">
        <is>
          <t>2025-01-31</t>
        </is>
      </c>
      <c r="J143" t="inlineStr">
        <is>
          <t>Financial</t>
        </is>
      </c>
      <c r="K143" t="inlineStr">
        <is>
          <t>-</t>
        </is>
      </c>
      <c r="L143" t="inlineStr">
        <is>
          <t>Godavari Commodities, Sangita Sales</t>
        </is>
      </c>
      <c r="M143" t="inlineStr">
        <is>
          <t>5 named / 7</t>
        </is>
      </c>
      <c r="O143" t="n">
        <v>309</v>
      </c>
      <c r="P143">
        <f>MAX(O143,Settings!$B$13)*Settings!$B$7</f>
        <v/>
      </c>
      <c r="Q143">
        <f>MAX(O143,Settings!$B$13)*Settings!$B$8</f>
        <v/>
      </c>
      <c r="R143" s="4">
        <f>MAX(P143*Settings!$B$5,IF(ISNUMBER(Settings!$B$12),Settings!$B$12,0))*(1+IF(Settings!$B$11="Y",0,Settings!$B$10/100))+N(Settings!$B$9)</f>
        <v/>
      </c>
      <c r="S143" s="4">
        <f>IF(Q143&gt;1000,"beyond table",IFERROR(LOOKUP(Q143,'FOIS 145A'!$A$2:$A$22,'FOIS 145A'!$C$2:$C$22),""))</f>
        <v/>
      </c>
      <c r="T143" s="4">
        <f>IF(ISNUMBER(S143),S143*(1+IF(Settings!$B$11="Y",0,Settings!$B$10/100))+2*N(Settings!$B$9),"")</f>
        <v/>
      </c>
      <c r="U143">
        <f>IF(ISNUMBER(T143),IF(T143&lt;R143,"Rail","Road"),"")</f>
        <v/>
      </c>
      <c r="V143" s="4">
        <f>IF(ISNUMBER(T143),ABS(R143-T143),"")</f>
        <v/>
      </c>
      <c r="W143">
        <f>IF(OR(ISNUMBER(SEARCH("siding",D143)),ISNUMBER(SEARCH("rcr",D143)),ISNUMBER(SEARCH("rail",D143)),ISNUMBER(SEARCH("wagon",D143))),"Yes - siding/rail in title","Check")</f>
        <v/>
      </c>
      <c r="X143">
        <f>Settings!$B$6</f>
        <v/>
      </c>
    </row>
    <row r="144">
      <c r="A144" t="inlineStr">
        <is>
          <t>C 300-500 km</t>
        </is>
      </c>
      <c r="B144" t="inlineStr">
        <is>
          <t>18417798</t>
        </is>
      </c>
      <c r="C144" t="inlineStr">
        <is>
          <t>2026_NTPC_112311_1</t>
        </is>
      </c>
      <c r="D144" t="inlineStr">
        <is>
          <t>lifting, handling, transportation of 1,00,000mt coal from topa karmamines of kuju area of ccl to railway siding under rcr mode and loading i</t>
        </is>
      </c>
      <c r="E144" t="inlineStr">
        <is>
          <t>Coal transport (RCR / siding)</t>
        </is>
      </c>
      <c r="F144" t="inlineStr">
        <is>
          <t>National Thermal Power Corporation Limited</t>
        </is>
      </c>
      <c r="G144" t="inlineStr">
        <is>
          <t>Bihar</t>
        </is>
      </c>
      <c r="H144" t="inlineStr">
        <is>
          <t>Nabinagar</t>
        </is>
      </c>
      <c r="I144" t="inlineStr">
        <is>
          <t>2026-10-06</t>
        </is>
      </c>
      <c r="J144" t="inlineStr">
        <is>
          <t>Technical</t>
        </is>
      </c>
      <c r="K144" t="inlineStr">
        <is>
          <t>-</t>
        </is>
      </c>
      <c r="L144" t="inlineStr">
        <is>
          <t>Bharat Road Carrier, Godavari Commodities</t>
        </is>
      </c>
      <c r="M144" t="inlineStr">
        <is>
          <t>5 named / 15</t>
        </is>
      </c>
      <c r="O144" t="n">
        <v>311</v>
      </c>
      <c r="P144">
        <f>MAX(O144,Settings!$B$13)*Settings!$B$7</f>
        <v/>
      </c>
      <c r="Q144">
        <f>MAX(O144,Settings!$B$13)*Settings!$B$8</f>
        <v/>
      </c>
      <c r="R144" s="4">
        <f>MAX(P144*Settings!$B$5,IF(ISNUMBER(Settings!$B$12),Settings!$B$12,0))*(1+IF(Settings!$B$11="Y",0,Settings!$B$10/100))+N(Settings!$B$9)</f>
        <v/>
      </c>
      <c r="S144" s="4">
        <f>IF(Q144&gt;1000,"beyond table",IFERROR(LOOKUP(Q144,'FOIS 145A'!$A$2:$A$22,'FOIS 145A'!$C$2:$C$22),""))</f>
        <v/>
      </c>
      <c r="T144" s="4">
        <f>IF(ISNUMBER(S144),S144*(1+IF(Settings!$B$11="Y",0,Settings!$B$10/100))+2*N(Settings!$B$9),"")</f>
        <v/>
      </c>
      <c r="U144">
        <f>IF(ISNUMBER(T144),IF(T144&lt;R144,"Rail","Road"),"")</f>
        <v/>
      </c>
      <c r="V144" s="4">
        <f>IF(ISNUMBER(T144),ABS(R144-T144),"")</f>
        <v/>
      </c>
      <c r="W144">
        <f>IF(OR(ISNUMBER(SEARCH("siding",D144)),ISNUMBER(SEARCH("rcr",D144)),ISNUMBER(SEARCH("rail",D144)),ISNUMBER(SEARCH("wagon",D144))),"Yes - siding/rail in title","Check")</f>
        <v/>
      </c>
      <c r="X144">
        <f>Settings!$B$6</f>
        <v/>
      </c>
    </row>
    <row r="145">
      <c r="A145" t="inlineStr">
        <is>
          <t>C 300-500 km</t>
        </is>
      </c>
      <c r="B145" t="inlineStr">
        <is>
          <t>18334843</t>
        </is>
      </c>
      <c r="C145" t="inlineStr">
        <is>
          <t>2026_NTPC_112165_1</t>
        </is>
      </c>
      <c r="D145" t="inlineStr">
        <is>
          <t>lifting, handling, transportation of 80,000mt coal from ena and gondudihmines of kusunda area of bccl to railway siding under rcr mode and l</t>
        </is>
      </c>
      <c r="E145" t="inlineStr">
        <is>
          <t>Coal transport (RCR / siding)</t>
        </is>
      </c>
      <c r="F145" t="inlineStr">
        <is>
          <t>National Thermal Power Corporation Limited</t>
        </is>
      </c>
      <c r="G145" t="inlineStr">
        <is>
          <t>Bihar</t>
        </is>
      </c>
      <c r="H145" t="inlineStr">
        <is>
          <t>Nabinagar</t>
        </is>
      </c>
      <c r="I145" t="inlineStr">
        <is>
          <t>2026-09-29</t>
        </is>
      </c>
      <c r="J145" t="inlineStr">
        <is>
          <t>AOC</t>
        </is>
      </c>
      <c r="K145" t="inlineStr">
        <is>
          <t>Chhattisgarh Maharashtra Carrier</t>
        </is>
      </c>
      <c r="L145" t="inlineStr">
        <is>
          <t>Godavari Commodities</t>
        </is>
      </c>
      <c r="M145" t="inlineStr">
        <is>
          <t>5 named / 15</t>
        </is>
      </c>
      <c r="N145" t="n">
        <v>0.51</v>
      </c>
      <c r="O145" t="n">
        <v>311</v>
      </c>
      <c r="P145">
        <f>MAX(O145,Settings!$B$13)*Settings!$B$7</f>
        <v/>
      </c>
      <c r="Q145">
        <f>MAX(O145,Settings!$B$13)*Settings!$B$8</f>
        <v/>
      </c>
      <c r="R145" s="4">
        <f>MAX(P145*Settings!$B$5,IF(ISNUMBER(Settings!$B$12),Settings!$B$12,0))*(1+IF(Settings!$B$11="Y",0,Settings!$B$10/100))+N(Settings!$B$9)</f>
        <v/>
      </c>
      <c r="S145" s="4">
        <f>IF(Q145&gt;1000,"beyond table",IFERROR(LOOKUP(Q145,'FOIS 145A'!$A$2:$A$22,'FOIS 145A'!$C$2:$C$22),""))</f>
        <v/>
      </c>
      <c r="T145" s="4">
        <f>IF(ISNUMBER(S145),S145*(1+IF(Settings!$B$11="Y",0,Settings!$B$10/100))+2*N(Settings!$B$9),"")</f>
        <v/>
      </c>
      <c r="U145">
        <f>IF(ISNUMBER(T145),IF(T145&lt;R145,"Rail","Road"),"")</f>
        <v/>
      </c>
      <c r="V145" s="4">
        <f>IF(ISNUMBER(T145),ABS(R145-T145),"")</f>
        <v/>
      </c>
      <c r="W145">
        <f>IF(OR(ISNUMBER(SEARCH("siding",D145)),ISNUMBER(SEARCH("rcr",D145)),ISNUMBER(SEARCH("rail",D145)),ISNUMBER(SEARCH("wagon",D145))),"Yes - siding/rail in title","Check")</f>
        <v/>
      </c>
      <c r="X145">
        <f>Settings!$B$6</f>
        <v/>
      </c>
    </row>
    <row r="146">
      <c r="A146" t="inlineStr">
        <is>
          <t>C 300-500 km</t>
        </is>
      </c>
      <c r="B146" t="inlineStr">
        <is>
          <t>18249396</t>
        </is>
      </c>
      <c r="C146" t="inlineStr">
        <is>
          <t>2026_BRBCL_111849_1</t>
        </is>
      </c>
      <c r="D146" t="inlineStr">
        <is>
          <t>handling and transportation of coal through rcr mode from amrapali and chandragupta mines to brbcl</t>
        </is>
      </c>
      <c r="E146" t="inlineStr">
        <is>
          <t>Coal transport (RCR / siding)</t>
        </is>
      </c>
      <c r="F146" t="inlineStr">
        <is>
          <t>Bhartiya Rail Bijlee Company Limited</t>
        </is>
      </c>
      <c r="G146" t="inlineStr">
        <is>
          <t>Bihar</t>
        </is>
      </c>
      <c r="H146" t="inlineStr">
        <is>
          <t>Nabinagar</t>
        </is>
      </c>
      <c r="I146" t="inlineStr">
        <is>
          <t>2026-09-18</t>
        </is>
      </c>
      <c r="J146" t="inlineStr">
        <is>
          <t>Technical</t>
        </is>
      </c>
      <c r="K146" t="inlineStr">
        <is>
          <t>-</t>
        </is>
      </c>
      <c r="L146" t="inlineStr">
        <is>
          <t>Nkas Services</t>
        </is>
      </c>
      <c r="M146" t="inlineStr">
        <is>
          <t>4 named / 4</t>
        </is>
      </c>
      <c r="O146" t="n">
        <v>311</v>
      </c>
      <c r="P146">
        <f>MAX(O146,Settings!$B$13)*Settings!$B$7</f>
        <v/>
      </c>
      <c r="Q146">
        <f>MAX(O146,Settings!$B$13)*Settings!$B$8</f>
        <v/>
      </c>
      <c r="R146" s="4">
        <f>MAX(P146*Settings!$B$5,IF(ISNUMBER(Settings!$B$12),Settings!$B$12,0))*(1+IF(Settings!$B$11="Y",0,Settings!$B$10/100))+N(Settings!$B$9)</f>
        <v/>
      </c>
      <c r="S146" s="4">
        <f>IF(Q146&gt;1000,"beyond table",IFERROR(LOOKUP(Q146,'FOIS 145A'!$A$2:$A$22,'FOIS 145A'!$C$2:$C$22),""))</f>
        <v/>
      </c>
      <c r="T146" s="4">
        <f>IF(ISNUMBER(S146),S146*(1+IF(Settings!$B$11="Y",0,Settings!$B$10/100))+2*N(Settings!$B$9),"")</f>
        <v/>
      </c>
      <c r="U146">
        <f>IF(ISNUMBER(T146),IF(T146&lt;R146,"Rail","Road"),"")</f>
        <v/>
      </c>
      <c r="V146" s="4">
        <f>IF(ISNUMBER(T146),ABS(R146-T146),"")</f>
        <v/>
      </c>
      <c r="W146">
        <f>IF(OR(ISNUMBER(SEARCH("siding",D146)),ISNUMBER(SEARCH("rcr",D146)),ISNUMBER(SEARCH("rail",D146)),ISNUMBER(SEARCH("wagon",D146))),"Yes - siding/rail in title","Check")</f>
        <v/>
      </c>
      <c r="X146">
        <f>Settings!$B$6</f>
        <v/>
      </c>
    </row>
    <row r="147">
      <c r="A147" t="inlineStr">
        <is>
          <t>C 300-500 km</t>
        </is>
      </c>
      <c r="B147" t="inlineStr">
        <is>
          <t>15030826</t>
        </is>
      </c>
      <c r="C147" t="inlineStr">
        <is>
          <t>GEM/2025/B/6579332</t>
        </is>
      </c>
      <c r="D147" t="inlineStr">
        <is>
          <t>handling &amp; transport servi</t>
        </is>
      </c>
      <c r="E147" t="inlineStr">
        <is>
          <t>Coal transport (road)</t>
        </is>
      </c>
      <c r="F147" t="inlineStr">
        <is>
          <t>Northern Coalfields Limited</t>
        </is>
      </c>
      <c r="G147" t="inlineStr">
        <is>
          <t>Uttar Pradesh</t>
        </is>
      </c>
      <c r="H147" t="inlineStr">
        <is>
          <t>Sonebhadra</t>
        </is>
      </c>
      <c r="I147" t="inlineStr">
        <is>
          <t>2025-09-04</t>
        </is>
      </c>
      <c r="J147" t="inlineStr">
        <is>
          <t>AOC</t>
        </is>
      </c>
      <c r="K147" t="inlineStr">
        <is>
          <t>Khemka Carriers</t>
        </is>
      </c>
      <c r="L147" t="inlineStr"/>
      <c r="M147" t="inlineStr">
        <is>
          <t>5 named / 11</t>
        </is>
      </c>
      <c r="N147" t="n">
        <v>1.6</v>
      </c>
      <c r="O147" t="n">
        <v>312</v>
      </c>
      <c r="P147">
        <f>MAX(O147,Settings!$B$13)*Settings!$B$7</f>
        <v/>
      </c>
      <c r="Q147">
        <f>MAX(O147,Settings!$B$13)*Settings!$B$8</f>
        <v/>
      </c>
      <c r="R147" s="4">
        <f>MAX(P147*Settings!$B$5,IF(ISNUMBER(Settings!$B$12),Settings!$B$12,0))*(1+IF(Settings!$B$11="Y",0,Settings!$B$10/100))+N(Settings!$B$9)</f>
        <v/>
      </c>
      <c r="S147" s="4">
        <f>IF(Q147&gt;1000,"beyond table",IFERROR(LOOKUP(Q147,'FOIS 145A'!$A$2:$A$22,'FOIS 145A'!$C$2:$C$22),""))</f>
        <v/>
      </c>
      <c r="T147" s="4">
        <f>IF(ISNUMBER(S147),S147*(1+IF(Settings!$B$11="Y",0,Settings!$B$10/100))+2*N(Settings!$B$9),"")</f>
        <v/>
      </c>
      <c r="U147">
        <f>IF(ISNUMBER(T147),IF(T147&lt;R147,"Rail","Road"),"")</f>
        <v/>
      </c>
      <c r="V147" s="4">
        <f>IF(ISNUMBER(T147),ABS(R147-T147),"")</f>
        <v/>
      </c>
      <c r="W147">
        <f>IF(OR(ISNUMBER(SEARCH("siding",D147)),ISNUMBER(SEARCH("rcr",D147)),ISNUMBER(SEARCH("rail",D147)),ISNUMBER(SEARCH("wagon",D147))),"Yes - siding/rail in title","Check")</f>
        <v/>
      </c>
      <c r="X147">
        <f>Settings!$B$6</f>
        <v/>
      </c>
    </row>
    <row r="148">
      <c r="A148" t="inlineStr">
        <is>
          <t>C 300-500 km</t>
        </is>
      </c>
      <c r="B148" t="inlineStr">
        <is>
          <t>16805737</t>
        </is>
      </c>
      <c r="C148" t="inlineStr">
        <is>
          <t>GEM/2025/B/7029761</t>
        </is>
      </c>
      <c r="D148" t="inlineStr">
        <is>
          <t>facility management services - lumpsum based - industrial; job contract for unloading of coal from bobr &amp; boxn wagons and deployment of manp</t>
        </is>
      </c>
      <c r="E148" t="inlineStr">
        <is>
          <t>Loading / handling / crushing</t>
        </is>
      </c>
      <c r="F148" t="inlineStr">
        <is>
          <t>National Thermal Power Corporation Limited</t>
        </is>
      </c>
      <c r="G148" t="inlineStr">
        <is>
          <t>Uttar Pradesh</t>
        </is>
      </c>
      <c r="H148" t="inlineStr">
        <is>
          <t>Sonebhadra</t>
        </is>
      </c>
      <c r="I148" t="inlineStr">
        <is>
          <t>2026-01-12</t>
        </is>
      </c>
      <c r="J148" t="inlineStr">
        <is>
          <t>AOC</t>
        </is>
      </c>
      <c r="K148" t="inlineStr">
        <is>
          <t>Puja Associates</t>
        </is>
      </c>
      <c r="L148" t="inlineStr"/>
      <c r="M148" t="inlineStr">
        <is>
          <t>5 named / 12</t>
        </is>
      </c>
      <c r="N148" t="n">
        <v>13.12</v>
      </c>
      <c r="O148" t="n">
        <v>312</v>
      </c>
      <c r="P148">
        <f>MAX(O148,Settings!$B$13)*Settings!$B$7</f>
        <v/>
      </c>
      <c r="Q148">
        <f>MAX(O148,Settings!$B$13)*Settings!$B$8</f>
        <v/>
      </c>
      <c r="R148" s="4">
        <f>MAX(P148*Settings!$B$5,IF(ISNUMBER(Settings!$B$12),Settings!$B$12,0))*(1+IF(Settings!$B$11="Y",0,Settings!$B$10/100))+N(Settings!$B$9)</f>
        <v/>
      </c>
      <c r="S148" s="4">
        <f>IF(Q148&gt;1000,"beyond table",IFERROR(LOOKUP(Q148,'FOIS 145A'!$A$2:$A$22,'FOIS 145A'!$C$2:$C$22),""))</f>
        <v/>
      </c>
      <c r="T148" s="4">
        <f>IF(ISNUMBER(S148),S148*(1+IF(Settings!$B$11="Y",0,Settings!$B$10/100))+2*N(Settings!$B$9),"")</f>
        <v/>
      </c>
      <c r="U148">
        <f>IF(ISNUMBER(T148),IF(T148&lt;R148,"Rail","Road"),"")</f>
        <v/>
      </c>
      <c r="V148" s="4">
        <f>IF(ISNUMBER(T148),ABS(R148-T148),"")</f>
        <v/>
      </c>
      <c r="W148">
        <f>IF(OR(ISNUMBER(SEARCH("siding",D148)),ISNUMBER(SEARCH("rcr",D148)),ISNUMBER(SEARCH("rail",D148)),ISNUMBER(SEARCH("wagon",D148))),"Yes - siding/rail in title","Check")</f>
        <v/>
      </c>
      <c r="X148">
        <f>Settings!$B$6</f>
        <v/>
      </c>
    </row>
    <row r="149">
      <c r="A149" t="inlineStr">
        <is>
          <t>C 300-500 km</t>
        </is>
      </c>
      <c r="B149" t="inlineStr">
        <is>
          <t>13179167</t>
        </is>
      </c>
      <c r="C149" t="inlineStr">
        <is>
          <t>GEM/2025/B/5992250</t>
        </is>
      </c>
      <c r="D149" t="inlineStr">
        <is>
          <t>hiring of hmvs for handling shifting coal and other material at ntpc sing</t>
        </is>
      </c>
      <c r="E149" t="inlineStr">
        <is>
          <t>Loading / handling / crushing</t>
        </is>
      </c>
      <c r="F149" t="inlineStr">
        <is>
          <t>National Thermal Power Corporation Limited</t>
        </is>
      </c>
      <c r="G149" t="inlineStr">
        <is>
          <t>Uttar Pradesh</t>
        </is>
      </c>
      <c r="H149" t="inlineStr">
        <is>
          <t>Sonebhadra</t>
        </is>
      </c>
      <c r="I149" t="inlineStr">
        <is>
          <t>2025-03-18</t>
        </is>
      </c>
      <c r="J149" t="inlineStr">
        <is>
          <t>AOC</t>
        </is>
      </c>
      <c r="K149" t="inlineStr">
        <is>
          <t>Ar Crane Service And Engineering Works</t>
        </is>
      </c>
      <c r="L149" t="inlineStr"/>
      <c r="M149" t="inlineStr">
        <is>
          <t>5 named / 10</t>
        </is>
      </c>
      <c r="N149" t="n">
        <v>2.01</v>
      </c>
      <c r="O149" t="n">
        <v>312</v>
      </c>
      <c r="P149">
        <f>MAX(O149,Settings!$B$13)*Settings!$B$7</f>
        <v/>
      </c>
      <c r="Q149">
        <f>MAX(O149,Settings!$B$13)*Settings!$B$8</f>
        <v/>
      </c>
      <c r="R149" s="4">
        <f>MAX(P149*Settings!$B$5,IF(ISNUMBER(Settings!$B$12),Settings!$B$12,0))*(1+IF(Settings!$B$11="Y",0,Settings!$B$10/100))+N(Settings!$B$9)</f>
        <v/>
      </c>
      <c r="S149" s="4">
        <f>IF(Q149&gt;1000,"beyond table",IFERROR(LOOKUP(Q149,'FOIS 145A'!$A$2:$A$22,'FOIS 145A'!$C$2:$C$22),""))</f>
        <v/>
      </c>
      <c r="T149" s="4">
        <f>IF(ISNUMBER(S149),S149*(1+IF(Settings!$B$11="Y",0,Settings!$B$10/100))+2*N(Settings!$B$9),"")</f>
        <v/>
      </c>
      <c r="U149">
        <f>IF(ISNUMBER(T149),IF(T149&lt;R149,"Rail","Road"),"")</f>
        <v/>
      </c>
      <c r="V149" s="4">
        <f>IF(ISNUMBER(T149),ABS(R149-T149),"")</f>
        <v/>
      </c>
      <c r="W149">
        <f>IF(OR(ISNUMBER(SEARCH("siding",D149)),ISNUMBER(SEARCH("rcr",D149)),ISNUMBER(SEARCH("rail",D149)),ISNUMBER(SEARCH("wagon",D149))),"Yes - siding/rail in title","Check")</f>
        <v/>
      </c>
      <c r="X149">
        <f>Settings!$B$6</f>
        <v/>
      </c>
    </row>
    <row r="150">
      <c r="A150" t="inlineStr">
        <is>
          <t>C 300-500 km</t>
        </is>
      </c>
      <c r="B150" t="inlineStr">
        <is>
          <t>16554696</t>
        </is>
      </c>
      <c r="C150" t="inlineStr">
        <is>
          <t>GEM/2025/B/7039584</t>
        </is>
      </c>
      <c r="D150" t="inlineStr">
        <is>
          <t>biomass pellet unloading, handling and transferring to designated places at ntpc rihand</t>
        </is>
      </c>
      <c r="E150" t="inlineStr">
        <is>
          <t>Other (biomass / coke)</t>
        </is>
      </c>
      <c r="F150" t="inlineStr">
        <is>
          <t>National Thermal Power Corporation Limited</t>
        </is>
      </c>
      <c r="G150" t="inlineStr">
        <is>
          <t>Uttar Pradesh</t>
        </is>
      </c>
      <c r="H150" t="inlineStr">
        <is>
          <t>Sonebhadra</t>
        </is>
      </c>
      <c r="I150" t="inlineStr">
        <is>
          <t>2026-01-14</t>
        </is>
      </c>
      <c r="J150" t="inlineStr">
        <is>
          <t>Financial</t>
        </is>
      </c>
      <c r="K150" t="inlineStr">
        <is>
          <t>-</t>
        </is>
      </c>
      <c r="L150" t="inlineStr"/>
      <c r="M150" t="inlineStr">
        <is>
          <t>5 named / 11</t>
        </is>
      </c>
      <c r="O150" t="n">
        <v>312</v>
      </c>
      <c r="P150">
        <f>MAX(O150,Settings!$B$13)*Settings!$B$7</f>
        <v/>
      </c>
      <c r="Q150">
        <f>MAX(O150,Settings!$B$13)*Settings!$B$8</f>
        <v/>
      </c>
      <c r="R150" s="4">
        <f>MAX(P150*Settings!$B$5,IF(ISNUMBER(Settings!$B$12),Settings!$B$12,0))*(1+IF(Settings!$B$11="Y",0,Settings!$B$10/100))+N(Settings!$B$9)</f>
        <v/>
      </c>
      <c r="S150" s="4">
        <f>IF(Q150&gt;1000,"beyond table",IFERROR(LOOKUP(Q150,'FOIS 145A'!$A$2:$A$22,'FOIS 145A'!$C$2:$C$22),""))</f>
        <v/>
      </c>
      <c r="T150" s="4">
        <f>IF(ISNUMBER(S150),S150*(1+IF(Settings!$B$11="Y",0,Settings!$B$10/100))+2*N(Settings!$B$9),"")</f>
        <v/>
      </c>
      <c r="U150">
        <f>IF(ISNUMBER(T150),IF(T150&lt;R150,"Rail","Road"),"")</f>
        <v/>
      </c>
      <c r="V150" s="4">
        <f>IF(ISNUMBER(T150),ABS(R150-T150),"")</f>
        <v/>
      </c>
      <c r="W150">
        <f>IF(OR(ISNUMBER(SEARCH("siding",D150)),ISNUMBER(SEARCH("rcr",D150)),ISNUMBER(SEARCH("rail",D150)),ISNUMBER(SEARCH("wagon",D150))),"Yes - siding/rail in title","Check")</f>
        <v/>
      </c>
      <c r="X150">
        <f>Settings!$B$6</f>
        <v/>
      </c>
    </row>
    <row r="151">
      <c r="A151" t="inlineStr">
        <is>
          <t>C 300-500 km</t>
        </is>
      </c>
      <c r="B151" t="inlineStr">
        <is>
          <t>14288652</t>
        </is>
      </c>
      <c r="C151" t="inlineStr">
        <is>
          <t>GEM/2025/B/6338966</t>
        </is>
      </c>
      <c r="D151" t="inlineStr">
        <is>
          <t>hiring of tipper for trans</t>
        </is>
      </c>
      <c r="E151" t="inlineStr">
        <is>
          <t>Other</t>
        </is>
      </c>
      <c r="F151" t="inlineStr">
        <is>
          <t>South Eastern Coalfields Limited</t>
        </is>
      </c>
      <c r="G151" t="inlineStr">
        <is>
          <t>Madhya Pradesh</t>
        </is>
      </c>
      <c r="H151" t="inlineStr">
        <is>
          <t>Umaria</t>
        </is>
      </c>
      <c r="I151" t="inlineStr">
        <is>
          <t>2025-06-28</t>
        </is>
      </c>
      <c r="J151" t="inlineStr">
        <is>
          <t>AOC</t>
        </is>
      </c>
      <c r="K151" t="inlineStr">
        <is>
          <t>Afsar Road Ways</t>
        </is>
      </c>
      <c r="L151" t="inlineStr">
        <is>
          <t>G K Associates</t>
        </is>
      </c>
      <c r="M151" t="inlineStr">
        <is>
          <t>5 named / 12</t>
        </is>
      </c>
      <c r="N151" t="n">
        <v>8.210000000000001</v>
      </c>
      <c r="O151" t="n">
        <v>318</v>
      </c>
      <c r="P151">
        <f>MAX(O151,Settings!$B$13)*Settings!$B$7</f>
        <v/>
      </c>
      <c r="Q151">
        <f>MAX(O151,Settings!$B$13)*Settings!$B$8</f>
        <v/>
      </c>
      <c r="R151" s="4">
        <f>MAX(P151*Settings!$B$5,IF(ISNUMBER(Settings!$B$12),Settings!$B$12,0))*(1+IF(Settings!$B$11="Y",0,Settings!$B$10/100))+N(Settings!$B$9)</f>
        <v/>
      </c>
      <c r="S151" s="4">
        <f>IF(Q151&gt;1000,"beyond table",IFERROR(LOOKUP(Q151,'FOIS 145A'!$A$2:$A$22,'FOIS 145A'!$C$2:$C$22),""))</f>
        <v/>
      </c>
      <c r="T151" s="4">
        <f>IF(ISNUMBER(S151),S151*(1+IF(Settings!$B$11="Y",0,Settings!$B$10/100))+2*N(Settings!$B$9),"")</f>
        <v/>
      </c>
      <c r="U151">
        <f>IF(ISNUMBER(T151),IF(T151&lt;R151,"Rail","Road"),"")</f>
        <v/>
      </c>
      <c r="V151" s="4">
        <f>IF(ISNUMBER(T151),ABS(R151-T151),"")</f>
        <v/>
      </c>
      <c r="W151">
        <f>IF(OR(ISNUMBER(SEARCH("siding",D151)),ISNUMBER(SEARCH("rcr",D151)),ISNUMBER(SEARCH("rail",D151)),ISNUMBER(SEARCH("wagon",D151))),"Yes - siding/rail in title","Check")</f>
        <v/>
      </c>
      <c r="X151">
        <f>Settings!$B$6</f>
        <v/>
      </c>
    </row>
    <row r="152">
      <c r="A152" t="inlineStr">
        <is>
          <t>C 300-500 km</t>
        </is>
      </c>
      <c r="B152" t="inlineStr">
        <is>
          <t>18098722</t>
        </is>
      </c>
      <c r="C152" t="inlineStr">
        <is>
          <t>2026_RRVUN_587211_1</t>
        </is>
      </c>
      <c r="D152" t="inlineStr">
        <is>
          <t>rate contract for taking delivery of raw coal from ncl collieries on behalf of rvun - rate contract for taking delivery of raw coal from ncl</t>
        </is>
      </c>
      <c r="E152" t="inlineStr">
        <is>
          <t>Coal transport (RCR / siding)</t>
        </is>
      </c>
      <c r="F152" t="inlineStr">
        <is>
          <t>Rajasthan Rajya Vidhyut Utpadan Nigam Limited</t>
        </is>
      </c>
      <c r="G152" t="inlineStr">
        <is>
          <t>Madhya Pradesh</t>
        </is>
      </c>
      <c r="H152" t="inlineStr">
        <is>
          <t>Sidhi</t>
        </is>
      </c>
      <c r="I152" t="inlineStr">
        <is>
          <t>2026-08-24</t>
        </is>
      </c>
      <c r="J152" t="inlineStr">
        <is>
          <t>Technical</t>
        </is>
      </c>
      <c r="K152" t="inlineStr">
        <is>
          <t>-</t>
        </is>
      </c>
      <c r="L152" t="inlineStr"/>
      <c r="M152" t="inlineStr">
        <is>
          <t>5 named / 7</t>
        </is>
      </c>
      <c r="O152" t="n">
        <v>318</v>
      </c>
      <c r="P152">
        <f>MAX(O152,Settings!$B$13)*Settings!$B$7</f>
        <v/>
      </c>
      <c r="Q152">
        <f>MAX(O152,Settings!$B$13)*Settings!$B$8</f>
        <v/>
      </c>
      <c r="R152" s="4">
        <f>MAX(P152*Settings!$B$5,IF(ISNUMBER(Settings!$B$12),Settings!$B$12,0))*(1+IF(Settings!$B$11="Y",0,Settings!$B$10/100))+N(Settings!$B$9)</f>
        <v/>
      </c>
      <c r="S152" s="4">
        <f>IF(Q152&gt;1000,"beyond table",IFERROR(LOOKUP(Q152,'FOIS 145A'!$A$2:$A$22,'FOIS 145A'!$C$2:$C$22),""))</f>
        <v/>
      </c>
      <c r="T152" s="4">
        <f>IF(ISNUMBER(S152),S152*(1+IF(Settings!$B$11="Y",0,Settings!$B$10/100))+2*N(Settings!$B$9),"")</f>
        <v/>
      </c>
      <c r="U152">
        <f>IF(ISNUMBER(T152),IF(T152&lt;R152,"Rail","Road"),"")</f>
        <v/>
      </c>
      <c r="V152" s="4">
        <f>IF(ISNUMBER(T152),ABS(R152-T152),"")</f>
        <v/>
      </c>
      <c r="W152">
        <f>IF(OR(ISNUMBER(SEARCH("siding",D152)),ISNUMBER(SEARCH("rcr",D152)),ISNUMBER(SEARCH("rail",D152)),ISNUMBER(SEARCH("wagon",D152))),"Yes - siding/rail in title","Check")</f>
        <v/>
      </c>
      <c r="X152">
        <f>Settings!$B$6</f>
        <v/>
      </c>
    </row>
    <row r="153">
      <c r="A153" t="inlineStr">
        <is>
          <t>C 300-500 km</t>
        </is>
      </c>
      <c r="B153" t="inlineStr">
        <is>
          <t>18127157</t>
        </is>
      </c>
      <c r="C153" t="inlineStr">
        <is>
          <t>GEM/2026/B/7769325</t>
        </is>
      </c>
      <c r="D153" t="inlineStr">
        <is>
          <t>handling &amp; transport service, loading and transportation of coal from surface miner face to rls of khadia project</t>
        </is>
      </c>
      <c r="E153" t="inlineStr">
        <is>
          <t>Coal transport (RCR / siding)</t>
        </is>
      </c>
      <c r="F153" t="inlineStr">
        <is>
          <t>Northern Coalfields Limited</t>
        </is>
      </c>
      <c r="G153" t="inlineStr">
        <is>
          <t>Madhya Pradesh</t>
        </is>
      </c>
      <c r="H153" t="inlineStr">
        <is>
          <t>Sidhi</t>
        </is>
      </c>
      <c r="I153" t="inlineStr">
        <is>
          <t>2026-07-31</t>
        </is>
      </c>
      <c r="J153" t="inlineStr">
        <is>
          <t>AOC</t>
        </is>
      </c>
      <c r="K153" t="inlineStr">
        <is>
          <t>Shanker Fuels Private Limited</t>
        </is>
      </c>
      <c r="L153" t="inlineStr"/>
      <c r="M153" t="inlineStr">
        <is>
          <t>5 named / 18</t>
        </is>
      </c>
      <c r="N153" t="n">
        <v>47.96</v>
      </c>
      <c r="O153" t="n">
        <v>318</v>
      </c>
      <c r="P153">
        <f>MAX(O153,Settings!$B$13)*Settings!$B$7</f>
        <v/>
      </c>
      <c r="Q153">
        <f>MAX(O153,Settings!$B$13)*Settings!$B$8</f>
        <v/>
      </c>
      <c r="R153" s="4">
        <f>MAX(P153*Settings!$B$5,IF(ISNUMBER(Settings!$B$12),Settings!$B$12,0))*(1+IF(Settings!$B$11="Y",0,Settings!$B$10/100))+N(Settings!$B$9)</f>
        <v/>
      </c>
      <c r="S153" s="4">
        <f>IF(Q153&gt;1000,"beyond table",IFERROR(LOOKUP(Q153,'FOIS 145A'!$A$2:$A$22,'FOIS 145A'!$C$2:$C$22),""))</f>
        <v/>
      </c>
      <c r="T153" s="4">
        <f>IF(ISNUMBER(S153),S153*(1+IF(Settings!$B$11="Y",0,Settings!$B$10/100))+2*N(Settings!$B$9),"")</f>
        <v/>
      </c>
      <c r="U153">
        <f>IF(ISNUMBER(T153),IF(T153&lt;R153,"Rail","Road"),"")</f>
        <v/>
      </c>
      <c r="V153" s="4">
        <f>IF(ISNUMBER(T153),ABS(R153-T153),"")</f>
        <v/>
      </c>
      <c r="W153">
        <f>IF(OR(ISNUMBER(SEARCH("siding",D153)),ISNUMBER(SEARCH("rcr",D153)),ISNUMBER(SEARCH("rail",D153)),ISNUMBER(SEARCH("wagon",D153))),"Yes - siding/rail in title","Check")</f>
        <v/>
      </c>
      <c r="X153">
        <f>Settings!$B$6</f>
        <v/>
      </c>
    </row>
    <row r="154">
      <c r="A154" t="inlineStr">
        <is>
          <t>C 300-500 km</t>
        </is>
      </c>
      <c r="B154" t="inlineStr">
        <is>
          <t>18234064</t>
        </is>
      </c>
      <c r="C154" t="inlineStr">
        <is>
          <t>2026_NTPC_111980_1</t>
        </is>
      </c>
      <c r="D154" t="inlineStr">
        <is>
          <t>job contract for loading of coal, transportation from jayant west yard</t>
        </is>
      </c>
      <c r="E154" t="inlineStr">
        <is>
          <t>Coal transport (road)</t>
        </is>
      </c>
      <c r="F154" t="inlineStr">
        <is>
          <t>National Thermal Power Corporation Limited</t>
        </is>
      </c>
      <c r="G154" t="inlineStr">
        <is>
          <t>Madhya Pradesh</t>
        </is>
      </c>
      <c r="H154" t="inlineStr">
        <is>
          <t>Sidhi</t>
        </is>
      </c>
      <c r="I154" t="inlineStr">
        <is>
          <t>2026-09-18</t>
        </is>
      </c>
      <c r="J154" t="inlineStr">
        <is>
          <t>Financial</t>
        </is>
      </c>
      <c r="K154" t="inlineStr">
        <is>
          <t>-</t>
        </is>
      </c>
      <c r="L154" t="inlineStr">
        <is>
          <t>Tirupati Minerals</t>
        </is>
      </c>
      <c r="M154" t="inlineStr">
        <is>
          <t>1 named / 1</t>
        </is>
      </c>
      <c r="O154" t="n">
        <v>318</v>
      </c>
      <c r="P154">
        <f>MAX(O154,Settings!$B$13)*Settings!$B$7</f>
        <v/>
      </c>
      <c r="Q154">
        <f>MAX(O154,Settings!$B$13)*Settings!$B$8</f>
        <v/>
      </c>
      <c r="R154" s="4">
        <f>MAX(P154*Settings!$B$5,IF(ISNUMBER(Settings!$B$12),Settings!$B$12,0))*(1+IF(Settings!$B$11="Y",0,Settings!$B$10/100))+N(Settings!$B$9)</f>
        <v/>
      </c>
      <c r="S154" s="4">
        <f>IF(Q154&gt;1000,"beyond table",IFERROR(LOOKUP(Q154,'FOIS 145A'!$A$2:$A$22,'FOIS 145A'!$C$2:$C$22),""))</f>
        <v/>
      </c>
      <c r="T154" s="4">
        <f>IF(ISNUMBER(S154),S154*(1+IF(Settings!$B$11="Y",0,Settings!$B$10/100))+2*N(Settings!$B$9),"")</f>
        <v/>
      </c>
      <c r="U154">
        <f>IF(ISNUMBER(T154),IF(T154&lt;R154,"Rail","Road"),"")</f>
        <v/>
      </c>
      <c r="V154" s="4">
        <f>IF(ISNUMBER(T154),ABS(R154-T154),"")</f>
        <v/>
      </c>
      <c r="W154">
        <f>IF(OR(ISNUMBER(SEARCH("siding",D154)),ISNUMBER(SEARCH("rcr",D154)),ISNUMBER(SEARCH("rail",D154)),ISNUMBER(SEARCH("wagon",D154))),"Yes - siding/rail in title","Check")</f>
        <v/>
      </c>
      <c r="X154">
        <f>Settings!$B$6</f>
        <v/>
      </c>
    </row>
    <row r="155">
      <c r="A155" t="inlineStr">
        <is>
          <t>C 300-500 km</t>
        </is>
      </c>
      <c r="B155" t="inlineStr">
        <is>
          <t>17920540</t>
        </is>
      </c>
      <c r="C155" t="inlineStr">
        <is>
          <t>GEM/2026/B/7717407</t>
        </is>
      </c>
      <c r="D155" t="inlineStr">
        <is>
          <t>handling &amp; transport service, loading and transportation of coal at amlohri project</t>
        </is>
      </c>
      <c r="E155" t="inlineStr">
        <is>
          <t>Coal transport (road)</t>
        </is>
      </c>
      <c r="F155" t="inlineStr">
        <is>
          <t>Northern Coalfields Limited</t>
        </is>
      </c>
      <c r="G155" t="inlineStr">
        <is>
          <t>Madhya Pradesh</t>
        </is>
      </c>
      <c r="H155" t="inlineStr">
        <is>
          <t>Sidhi</t>
        </is>
      </c>
      <c r="I155" t="inlineStr">
        <is>
          <t>2026-07-14</t>
        </is>
      </c>
      <c r="J155" t="inlineStr">
        <is>
          <t>AOC</t>
        </is>
      </c>
      <c r="K155" t="inlineStr">
        <is>
          <t>Mahavir Coal Resources Private Limited</t>
        </is>
      </c>
      <c r="L155" t="inlineStr">
        <is>
          <t>Godavari Commodities</t>
        </is>
      </c>
      <c r="M155" t="inlineStr">
        <is>
          <t>5 named / 9</t>
        </is>
      </c>
      <c r="N155" t="n">
        <v>14.82</v>
      </c>
      <c r="O155" t="n">
        <v>318</v>
      </c>
      <c r="P155">
        <f>MAX(O155,Settings!$B$13)*Settings!$B$7</f>
        <v/>
      </c>
      <c r="Q155">
        <f>MAX(O155,Settings!$B$13)*Settings!$B$8</f>
        <v/>
      </c>
      <c r="R155" s="4">
        <f>MAX(P155*Settings!$B$5,IF(ISNUMBER(Settings!$B$12),Settings!$B$12,0))*(1+IF(Settings!$B$11="Y",0,Settings!$B$10/100))+N(Settings!$B$9)</f>
        <v/>
      </c>
      <c r="S155" s="4">
        <f>IF(Q155&gt;1000,"beyond table",IFERROR(LOOKUP(Q155,'FOIS 145A'!$A$2:$A$22,'FOIS 145A'!$C$2:$C$22),""))</f>
        <v/>
      </c>
      <c r="T155" s="4">
        <f>IF(ISNUMBER(S155),S155*(1+IF(Settings!$B$11="Y",0,Settings!$B$10/100))+2*N(Settings!$B$9),"")</f>
        <v/>
      </c>
      <c r="U155">
        <f>IF(ISNUMBER(T155),IF(T155&lt;R155,"Rail","Road"),"")</f>
        <v/>
      </c>
      <c r="V155" s="4">
        <f>IF(ISNUMBER(T155),ABS(R155-T155),"")</f>
        <v/>
      </c>
      <c r="W155">
        <f>IF(OR(ISNUMBER(SEARCH("siding",D155)),ISNUMBER(SEARCH("rcr",D155)),ISNUMBER(SEARCH("rail",D155)),ISNUMBER(SEARCH("wagon",D155))),"Yes - siding/rail in title","Check")</f>
        <v/>
      </c>
      <c r="X155">
        <f>Settings!$B$6</f>
        <v/>
      </c>
    </row>
    <row r="156">
      <c r="A156" t="inlineStr">
        <is>
          <t>C 300-500 km</t>
        </is>
      </c>
      <c r="B156" t="inlineStr">
        <is>
          <t>17901283</t>
        </is>
      </c>
      <c r="C156" t="inlineStr">
        <is>
          <t>GEM/2026/B/7702371</t>
        </is>
      </c>
      <c r="D156" t="inlineStr">
        <is>
          <t>feeding crushing through electric mobile crusher and transportation of 4384000 tes of coal at jayant project, ncl</t>
        </is>
      </c>
      <c r="E156" t="inlineStr">
        <is>
          <t>Coal transport (road)</t>
        </is>
      </c>
      <c r="F156" t="inlineStr">
        <is>
          <t>Northern Coalfields Limited</t>
        </is>
      </c>
      <c r="G156" t="inlineStr">
        <is>
          <t>Madhya Pradesh</t>
        </is>
      </c>
      <c r="H156" t="inlineStr">
        <is>
          <t>Sidhi</t>
        </is>
      </c>
      <c r="I156" t="inlineStr">
        <is>
          <t>2026-07-11</t>
        </is>
      </c>
      <c r="J156" t="inlineStr">
        <is>
          <t>AOC</t>
        </is>
      </c>
      <c r="K156" t="inlineStr">
        <is>
          <t>Shanker Fuels Private Limited</t>
        </is>
      </c>
      <c r="L156" t="inlineStr">
        <is>
          <t>Godavari Commodities</t>
        </is>
      </c>
      <c r="M156" t="inlineStr">
        <is>
          <t>5 named / 10</t>
        </is>
      </c>
      <c r="N156" t="n">
        <v>42.92</v>
      </c>
      <c r="O156" t="n">
        <v>318</v>
      </c>
      <c r="P156">
        <f>MAX(O156,Settings!$B$13)*Settings!$B$7</f>
        <v/>
      </c>
      <c r="Q156">
        <f>MAX(O156,Settings!$B$13)*Settings!$B$8</f>
        <v/>
      </c>
      <c r="R156" s="4">
        <f>MAX(P156*Settings!$B$5,IF(ISNUMBER(Settings!$B$12),Settings!$B$12,0))*(1+IF(Settings!$B$11="Y",0,Settings!$B$10/100))+N(Settings!$B$9)</f>
        <v/>
      </c>
      <c r="S156" s="4">
        <f>IF(Q156&gt;1000,"beyond table",IFERROR(LOOKUP(Q156,'FOIS 145A'!$A$2:$A$22,'FOIS 145A'!$C$2:$C$22),""))</f>
        <v/>
      </c>
      <c r="T156" s="4">
        <f>IF(ISNUMBER(S156),S156*(1+IF(Settings!$B$11="Y",0,Settings!$B$10/100))+2*N(Settings!$B$9),"")</f>
        <v/>
      </c>
      <c r="U156">
        <f>IF(ISNUMBER(T156),IF(T156&lt;R156,"Rail","Road"),"")</f>
        <v/>
      </c>
      <c r="V156" s="4">
        <f>IF(ISNUMBER(T156),ABS(R156-T156),"")</f>
        <v/>
      </c>
      <c r="W156">
        <f>IF(OR(ISNUMBER(SEARCH("siding",D156)),ISNUMBER(SEARCH("rcr",D156)),ISNUMBER(SEARCH("rail",D156)),ISNUMBER(SEARCH("wagon",D156))),"Yes - siding/rail in title","Check")</f>
        <v/>
      </c>
      <c r="X156">
        <f>Settings!$B$6</f>
        <v/>
      </c>
    </row>
    <row r="157">
      <c r="A157" t="inlineStr">
        <is>
          <t>C 300-500 km</t>
        </is>
      </c>
      <c r="B157" t="inlineStr">
        <is>
          <t>17865484</t>
        </is>
      </c>
      <c r="C157" t="inlineStr">
        <is>
          <t>GEM/2026/B/7560710</t>
        </is>
      </c>
      <c r="D157" t="inlineStr">
        <is>
          <t>loading transportation and crushing of coal at dudhichua project</t>
        </is>
      </c>
      <c r="E157" t="inlineStr">
        <is>
          <t>Coal transport (road)</t>
        </is>
      </c>
      <c r="F157" t="inlineStr">
        <is>
          <t>Northern Coalfields Limited</t>
        </is>
      </c>
      <c r="G157" t="inlineStr">
        <is>
          <t>Madhya Pradesh</t>
        </is>
      </c>
      <c r="H157" t="inlineStr">
        <is>
          <t>Sidhi</t>
        </is>
      </c>
      <c r="I157" t="inlineStr">
        <is>
          <t>2026-06-05</t>
        </is>
      </c>
      <c r="J157" t="inlineStr">
        <is>
          <t>Financial</t>
        </is>
      </c>
      <c r="K157" t="inlineStr">
        <is>
          <t>-</t>
        </is>
      </c>
      <c r="L157" t="inlineStr">
        <is>
          <t>Godavari Commodities</t>
        </is>
      </c>
      <c r="M157" t="inlineStr">
        <is>
          <t>5 named / 20</t>
        </is>
      </c>
      <c r="O157" t="n">
        <v>318</v>
      </c>
      <c r="P157">
        <f>MAX(O157,Settings!$B$13)*Settings!$B$7</f>
        <v/>
      </c>
      <c r="Q157">
        <f>MAX(O157,Settings!$B$13)*Settings!$B$8</f>
        <v/>
      </c>
      <c r="R157" s="4">
        <f>MAX(P157*Settings!$B$5,IF(ISNUMBER(Settings!$B$12),Settings!$B$12,0))*(1+IF(Settings!$B$11="Y",0,Settings!$B$10/100))+N(Settings!$B$9)</f>
        <v/>
      </c>
      <c r="S157" s="4">
        <f>IF(Q157&gt;1000,"beyond table",IFERROR(LOOKUP(Q157,'FOIS 145A'!$A$2:$A$22,'FOIS 145A'!$C$2:$C$22),""))</f>
        <v/>
      </c>
      <c r="T157" s="4">
        <f>IF(ISNUMBER(S157),S157*(1+IF(Settings!$B$11="Y",0,Settings!$B$10/100))+2*N(Settings!$B$9),"")</f>
        <v/>
      </c>
      <c r="U157">
        <f>IF(ISNUMBER(T157),IF(T157&lt;R157,"Rail","Road"),"")</f>
        <v/>
      </c>
      <c r="V157" s="4">
        <f>IF(ISNUMBER(T157),ABS(R157-T157),"")</f>
        <v/>
      </c>
      <c r="W157">
        <f>IF(OR(ISNUMBER(SEARCH("siding",D157)),ISNUMBER(SEARCH("rcr",D157)),ISNUMBER(SEARCH("rail",D157)),ISNUMBER(SEARCH("wagon",D157))),"Yes - siding/rail in title","Check")</f>
        <v/>
      </c>
      <c r="X157">
        <f>Settings!$B$6</f>
        <v/>
      </c>
    </row>
    <row r="158">
      <c r="A158" t="inlineStr">
        <is>
          <t>C 300-500 km</t>
        </is>
      </c>
      <c r="B158" t="inlineStr">
        <is>
          <t>17533867</t>
        </is>
      </c>
      <c r="C158" t="inlineStr">
        <is>
          <t>GEM/2026/B/7466836</t>
        </is>
      </c>
      <c r="D158" t="inlineStr">
        <is>
          <t>handling &amp; transport service, loading transportation and crushing of coal at nigahi area</t>
        </is>
      </c>
      <c r="E158" t="inlineStr">
        <is>
          <t>Coal transport (road)</t>
        </is>
      </c>
      <c r="F158" t="inlineStr">
        <is>
          <t>Northern Coalfields Limited</t>
        </is>
      </c>
      <c r="G158" t="inlineStr">
        <is>
          <t>Madhya Pradesh</t>
        </is>
      </c>
      <c r="H158" t="inlineStr">
        <is>
          <t>Sidhi</t>
        </is>
      </c>
      <c r="I158" t="inlineStr">
        <is>
          <t>2026-05-16</t>
        </is>
      </c>
      <c r="J158" t="inlineStr">
        <is>
          <t>AOC</t>
        </is>
      </c>
      <c r="K158" t="inlineStr">
        <is>
          <t>Rkcem Private Limited</t>
        </is>
      </c>
      <c r="L158" t="inlineStr"/>
      <c r="M158" t="inlineStr">
        <is>
          <t>5 named / 20</t>
        </is>
      </c>
      <c r="N158" t="n">
        <v>72.31999999999999</v>
      </c>
      <c r="O158" t="n">
        <v>318</v>
      </c>
      <c r="P158">
        <f>MAX(O158,Settings!$B$13)*Settings!$B$7</f>
        <v/>
      </c>
      <c r="Q158">
        <f>MAX(O158,Settings!$B$13)*Settings!$B$8</f>
        <v/>
      </c>
      <c r="R158" s="4">
        <f>MAX(P158*Settings!$B$5,IF(ISNUMBER(Settings!$B$12),Settings!$B$12,0))*(1+IF(Settings!$B$11="Y",0,Settings!$B$10/100))+N(Settings!$B$9)</f>
        <v/>
      </c>
      <c r="S158" s="4">
        <f>IF(Q158&gt;1000,"beyond table",IFERROR(LOOKUP(Q158,'FOIS 145A'!$A$2:$A$22,'FOIS 145A'!$C$2:$C$22),""))</f>
        <v/>
      </c>
      <c r="T158" s="4">
        <f>IF(ISNUMBER(S158),S158*(1+IF(Settings!$B$11="Y",0,Settings!$B$10/100))+2*N(Settings!$B$9),"")</f>
        <v/>
      </c>
      <c r="U158">
        <f>IF(ISNUMBER(T158),IF(T158&lt;R158,"Rail","Road"),"")</f>
        <v/>
      </c>
      <c r="V158" s="4">
        <f>IF(ISNUMBER(T158),ABS(R158-T158),"")</f>
        <v/>
      </c>
      <c r="W158">
        <f>IF(OR(ISNUMBER(SEARCH("siding",D158)),ISNUMBER(SEARCH("rcr",D158)),ISNUMBER(SEARCH("rail",D158)),ISNUMBER(SEARCH("wagon",D158))),"Yes - siding/rail in title","Check")</f>
        <v/>
      </c>
      <c r="X158">
        <f>Settings!$B$6</f>
        <v/>
      </c>
    </row>
    <row r="159">
      <c r="A159" t="inlineStr">
        <is>
          <t>C 300-500 km</t>
        </is>
      </c>
      <c r="B159" t="inlineStr">
        <is>
          <t>17072176</t>
        </is>
      </c>
      <c r="C159" t="inlineStr">
        <is>
          <t>GEM/2026/B/7362523</t>
        </is>
      </c>
      <c r="D159" t="inlineStr">
        <is>
          <t>handling &amp; transport service, loading and transportation of coal from surface miner face at khadia project</t>
        </is>
      </c>
      <c r="E159" t="inlineStr">
        <is>
          <t>Coal transport (road)</t>
        </is>
      </c>
      <c r="F159" t="inlineStr">
        <is>
          <t>Northern Coalfields Limited</t>
        </is>
      </c>
      <c r="G159" t="inlineStr">
        <is>
          <t>Madhya Pradesh</t>
        </is>
      </c>
      <c r="H159" t="inlineStr">
        <is>
          <t>Sidhi</t>
        </is>
      </c>
      <c r="I159" t="inlineStr">
        <is>
          <t>2026-03-31</t>
        </is>
      </c>
      <c r="J159" t="inlineStr">
        <is>
          <t>AOC</t>
        </is>
      </c>
      <c r="K159" t="inlineStr">
        <is>
          <t>Padmanabh Infra</t>
        </is>
      </c>
      <c r="L159" t="inlineStr"/>
      <c r="M159" t="inlineStr">
        <is>
          <t>5 named / 16</t>
        </is>
      </c>
      <c r="N159" t="n">
        <v>43.88</v>
      </c>
      <c r="O159" t="n">
        <v>318</v>
      </c>
      <c r="P159">
        <f>MAX(O159,Settings!$B$13)*Settings!$B$7</f>
        <v/>
      </c>
      <c r="Q159">
        <f>MAX(O159,Settings!$B$13)*Settings!$B$8</f>
        <v/>
      </c>
      <c r="R159" s="4">
        <f>MAX(P159*Settings!$B$5,IF(ISNUMBER(Settings!$B$12),Settings!$B$12,0))*(1+IF(Settings!$B$11="Y",0,Settings!$B$10/100))+N(Settings!$B$9)</f>
        <v/>
      </c>
      <c r="S159" s="4">
        <f>IF(Q159&gt;1000,"beyond table",IFERROR(LOOKUP(Q159,'FOIS 145A'!$A$2:$A$22,'FOIS 145A'!$C$2:$C$22),""))</f>
        <v/>
      </c>
      <c r="T159" s="4">
        <f>IF(ISNUMBER(S159),S159*(1+IF(Settings!$B$11="Y",0,Settings!$B$10/100))+2*N(Settings!$B$9),"")</f>
        <v/>
      </c>
      <c r="U159">
        <f>IF(ISNUMBER(T159),IF(T159&lt;R159,"Rail","Road"),"")</f>
        <v/>
      </c>
      <c r="V159" s="4">
        <f>IF(ISNUMBER(T159),ABS(R159-T159),"")</f>
        <v/>
      </c>
      <c r="W159">
        <f>IF(OR(ISNUMBER(SEARCH("siding",D159)),ISNUMBER(SEARCH("rcr",D159)),ISNUMBER(SEARCH("rail",D159)),ISNUMBER(SEARCH("wagon",D159))),"Yes - siding/rail in title","Check")</f>
        <v/>
      </c>
      <c r="X159">
        <f>Settings!$B$6</f>
        <v/>
      </c>
    </row>
    <row r="160">
      <c r="A160" t="inlineStr">
        <is>
          <t>C 300-500 km</t>
        </is>
      </c>
      <c r="B160" t="inlineStr">
        <is>
          <t>16064213</t>
        </is>
      </c>
      <c r="C160" t="inlineStr">
        <is>
          <t>GEM/2025/B/6773027</t>
        </is>
      </c>
      <c r="D160" t="inlineStr">
        <is>
          <t>handling &amp; transport service, loading and transportation of g8 grade of coal at dudhichua project.</t>
        </is>
      </c>
      <c r="E160" t="inlineStr">
        <is>
          <t>Coal transport (road)</t>
        </is>
      </c>
      <c r="F160" t="inlineStr">
        <is>
          <t>Northern Coalfields Limited</t>
        </is>
      </c>
      <c r="G160" t="inlineStr">
        <is>
          <t>Madhya Pradesh</t>
        </is>
      </c>
      <c r="H160" t="inlineStr">
        <is>
          <t>Sidhi</t>
        </is>
      </c>
      <c r="I160" t="inlineStr">
        <is>
          <t>2025-10-27</t>
        </is>
      </c>
      <c r="J160" t="inlineStr">
        <is>
          <t>AOC</t>
        </is>
      </c>
      <c r="K160" t="inlineStr">
        <is>
          <t>Arsh Global, Chandra And Company, Refex Industries Limited, Samar Logistics</t>
        </is>
      </c>
      <c r="L160" t="inlineStr">
        <is>
          <t>G K Associates</t>
        </is>
      </c>
      <c r="M160" t="inlineStr">
        <is>
          <t>5 named / 22</t>
        </is>
      </c>
      <c r="N160" t="n">
        <v>65.62</v>
      </c>
      <c r="O160" t="n">
        <v>318</v>
      </c>
      <c r="P160">
        <f>MAX(O160,Settings!$B$13)*Settings!$B$7</f>
        <v/>
      </c>
      <c r="Q160">
        <f>MAX(O160,Settings!$B$13)*Settings!$B$8</f>
        <v/>
      </c>
      <c r="R160" s="4">
        <f>MAX(P160*Settings!$B$5,IF(ISNUMBER(Settings!$B$12),Settings!$B$12,0))*(1+IF(Settings!$B$11="Y",0,Settings!$B$10/100))+N(Settings!$B$9)</f>
        <v/>
      </c>
      <c r="S160" s="4">
        <f>IF(Q160&gt;1000,"beyond table",IFERROR(LOOKUP(Q160,'FOIS 145A'!$A$2:$A$22,'FOIS 145A'!$C$2:$C$22),""))</f>
        <v/>
      </c>
      <c r="T160" s="4">
        <f>IF(ISNUMBER(S160),S160*(1+IF(Settings!$B$11="Y",0,Settings!$B$10/100))+2*N(Settings!$B$9),"")</f>
        <v/>
      </c>
      <c r="U160">
        <f>IF(ISNUMBER(T160),IF(T160&lt;R160,"Rail","Road"),"")</f>
        <v/>
      </c>
      <c r="V160" s="4">
        <f>IF(ISNUMBER(T160),ABS(R160-T160),"")</f>
        <v/>
      </c>
      <c r="W160">
        <f>IF(OR(ISNUMBER(SEARCH("siding",D160)),ISNUMBER(SEARCH("rcr",D160)),ISNUMBER(SEARCH("rail",D160)),ISNUMBER(SEARCH("wagon",D160))),"Yes - siding/rail in title","Check")</f>
        <v/>
      </c>
      <c r="X160">
        <f>Settings!$B$6</f>
        <v/>
      </c>
    </row>
    <row r="161">
      <c r="A161" t="inlineStr">
        <is>
          <t>C 300-500 km</t>
        </is>
      </c>
      <c r="B161" t="inlineStr">
        <is>
          <t>14860566</t>
        </is>
      </c>
      <c r="C161" t="inlineStr">
        <is>
          <t>GEM/2025/B/6453794</t>
        </is>
      </c>
      <c r="D161" t="inlineStr">
        <is>
          <t>handling &amp; transport servi</t>
        </is>
      </c>
      <c r="E161" t="inlineStr">
        <is>
          <t>Coal transport (road)</t>
        </is>
      </c>
      <c r="F161" t="inlineStr">
        <is>
          <t>Northern Coalfields Limited</t>
        </is>
      </c>
      <c r="G161" t="inlineStr">
        <is>
          <t>Madhya Pradesh</t>
        </is>
      </c>
      <c r="H161" t="inlineStr">
        <is>
          <t>Sidhi</t>
        </is>
      </c>
      <c r="I161" t="inlineStr">
        <is>
          <t>2025-08-01</t>
        </is>
      </c>
      <c r="J161" t="inlineStr">
        <is>
          <t>AOC</t>
        </is>
      </c>
      <c r="K161" t="inlineStr">
        <is>
          <t>Bla Infrastructure Private Limited</t>
        </is>
      </c>
      <c r="L161" t="inlineStr"/>
      <c r="M161" t="inlineStr">
        <is>
          <t>5 named / 12</t>
        </is>
      </c>
      <c r="N161" t="n">
        <v>6.39</v>
      </c>
      <c r="O161" t="n">
        <v>318</v>
      </c>
      <c r="P161">
        <f>MAX(O161,Settings!$B$13)*Settings!$B$7</f>
        <v/>
      </c>
      <c r="Q161">
        <f>MAX(O161,Settings!$B$13)*Settings!$B$8</f>
        <v/>
      </c>
      <c r="R161" s="4">
        <f>MAX(P161*Settings!$B$5,IF(ISNUMBER(Settings!$B$12),Settings!$B$12,0))*(1+IF(Settings!$B$11="Y",0,Settings!$B$10/100))+N(Settings!$B$9)</f>
        <v/>
      </c>
      <c r="S161" s="4">
        <f>IF(Q161&gt;1000,"beyond table",IFERROR(LOOKUP(Q161,'FOIS 145A'!$A$2:$A$22,'FOIS 145A'!$C$2:$C$22),""))</f>
        <v/>
      </c>
      <c r="T161" s="4">
        <f>IF(ISNUMBER(S161),S161*(1+IF(Settings!$B$11="Y",0,Settings!$B$10/100))+2*N(Settings!$B$9),"")</f>
        <v/>
      </c>
      <c r="U161">
        <f>IF(ISNUMBER(T161),IF(T161&lt;R161,"Rail","Road"),"")</f>
        <v/>
      </c>
      <c r="V161" s="4">
        <f>IF(ISNUMBER(T161),ABS(R161-T161),"")</f>
        <v/>
      </c>
      <c r="W161">
        <f>IF(OR(ISNUMBER(SEARCH("siding",D161)),ISNUMBER(SEARCH("rcr",D161)),ISNUMBER(SEARCH("rail",D161)),ISNUMBER(SEARCH("wagon",D161))),"Yes - siding/rail in title","Check")</f>
        <v/>
      </c>
      <c r="X161">
        <f>Settings!$B$6</f>
        <v/>
      </c>
    </row>
    <row r="162">
      <c r="A162" t="inlineStr">
        <is>
          <t>C 300-500 km</t>
        </is>
      </c>
      <c r="B162" t="inlineStr">
        <is>
          <t>14798139</t>
        </is>
      </c>
      <c r="C162" t="inlineStr">
        <is>
          <t>GEM/2025/B/6409906</t>
        </is>
      </c>
      <c r="D162" t="inlineStr">
        <is>
          <t>goods transport services - per mt - coal/ash; tipper/dump truck; medium tipper</t>
        </is>
      </c>
      <c r="E162" t="inlineStr">
        <is>
          <t>Coal transport (road)</t>
        </is>
      </c>
      <c r="F162" t="inlineStr">
        <is>
          <t>Moil Limited</t>
        </is>
      </c>
      <c r="G162" t="inlineStr">
        <is>
          <t>Madhya Pradesh</t>
        </is>
      </c>
      <c r="H162" t="inlineStr">
        <is>
          <t>Balaghat</t>
        </is>
      </c>
      <c r="I162" t="inlineStr">
        <is>
          <t>2025-07-24</t>
        </is>
      </c>
      <c r="J162" t="inlineStr">
        <is>
          <t>Financial</t>
        </is>
      </c>
      <c r="K162" t="inlineStr">
        <is>
          <t>-</t>
        </is>
      </c>
      <c r="L162" t="inlineStr"/>
      <c r="M162" t="inlineStr">
        <is>
          <t>5 named / 5</t>
        </is>
      </c>
      <c r="O162" t="n">
        <v>331</v>
      </c>
      <c r="P162">
        <f>MAX(O162,Settings!$B$13)*Settings!$B$7</f>
        <v/>
      </c>
      <c r="Q162">
        <f>MAX(O162,Settings!$B$13)*Settings!$B$8</f>
        <v/>
      </c>
      <c r="R162" s="4">
        <f>MAX(P162*Settings!$B$5,IF(ISNUMBER(Settings!$B$12),Settings!$B$12,0))*(1+IF(Settings!$B$11="Y",0,Settings!$B$10/100))+N(Settings!$B$9)</f>
        <v/>
      </c>
      <c r="S162" s="4">
        <f>IF(Q162&gt;1000,"beyond table",IFERROR(LOOKUP(Q162,'FOIS 145A'!$A$2:$A$22,'FOIS 145A'!$C$2:$C$22),""))</f>
        <v/>
      </c>
      <c r="T162" s="4">
        <f>IF(ISNUMBER(S162),S162*(1+IF(Settings!$B$11="Y",0,Settings!$B$10/100))+2*N(Settings!$B$9),"")</f>
        <v/>
      </c>
      <c r="U162">
        <f>IF(ISNUMBER(T162),IF(T162&lt;R162,"Rail","Road"),"")</f>
        <v/>
      </c>
      <c r="V162" s="4">
        <f>IF(ISNUMBER(T162),ABS(R162-T162),"")</f>
        <v/>
      </c>
      <c r="W162">
        <f>IF(OR(ISNUMBER(SEARCH("siding",D162)),ISNUMBER(SEARCH("rcr",D162)),ISNUMBER(SEARCH("rail",D162)),ISNUMBER(SEARCH("wagon",D162))),"Yes - siding/rail in title","Check")</f>
        <v/>
      </c>
      <c r="X162">
        <f>Settings!$B$6</f>
        <v/>
      </c>
    </row>
    <row r="163">
      <c r="A163" t="inlineStr">
        <is>
          <t>C 300-500 km</t>
        </is>
      </c>
      <c r="B163" t="inlineStr">
        <is>
          <t>14597507</t>
        </is>
      </c>
      <c r="C163" t="inlineStr">
        <is>
          <t>2025_EB_567955_1</t>
        </is>
      </c>
      <c r="D163" t="inlineStr">
        <is>
          <t>movement and handling of coal from the various collieries of mahanadhi coalfields ltd. through the load port of paradip for the thermal stat</t>
        </is>
      </c>
      <c r="E163" t="inlineStr">
        <is>
          <t>Loading / handling / crushing</t>
        </is>
      </c>
      <c r="F163" t="inlineStr">
        <is>
          <t>Tamil Nadu Generation And Distribution Corporation Limited</t>
        </is>
      </c>
      <c r="G163" t="inlineStr">
        <is>
          <t>Orissa</t>
        </is>
      </c>
      <c r="H163" t="inlineStr">
        <is>
          <t>Jagatsinghpur</t>
        </is>
      </c>
      <c r="I163" t="inlineStr">
        <is>
          <t>2025-08-11</t>
        </is>
      </c>
      <c r="J163" t="inlineStr">
        <is>
          <t>AOC</t>
        </is>
      </c>
      <c r="K163" t="inlineStr">
        <is>
          <t>Kps Logistics</t>
        </is>
      </c>
      <c r="L163" t="inlineStr">
        <is>
          <t>Godavari Commodities</t>
        </is>
      </c>
      <c r="M163" t="inlineStr">
        <is>
          <t>5 named / 8</t>
        </is>
      </c>
      <c r="N163" t="n">
        <v>64.52</v>
      </c>
      <c r="O163" t="n">
        <v>340</v>
      </c>
      <c r="P163">
        <f>MAX(O163,Settings!$B$13)*Settings!$B$7</f>
        <v/>
      </c>
      <c r="Q163">
        <f>MAX(O163,Settings!$B$13)*Settings!$B$8</f>
        <v/>
      </c>
      <c r="R163" s="4">
        <f>MAX(P163*Settings!$B$5,IF(ISNUMBER(Settings!$B$12),Settings!$B$12,0))*(1+IF(Settings!$B$11="Y",0,Settings!$B$10/100))+N(Settings!$B$9)</f>
        <v/>
      </c>
      <c r="S163" s="4">
        <f>IF(Q163&gt;1000,"beyond table",IFERROR(LOOKUP(Q163,'FOIS 145A'!$A$2:$A$22,'FOIS 145A'!$C$2:$C$22),""))</f>
        <v/>
      </c>
      <c r="T163" s="4">
        <f>IF(ISNUMBER(S163),S163*(1+IF(Settings!$B$11="Y",0,Settings!$B$10/100))+2*N(Settings!$B$9),"")</f>
        <v/>
      </c>
      <c r="U163">
        <f>IF(ISNUMBER(T163),IF(T163&lt;R163,"Rail","Road"),"")</f>
        <v/>
      </c>
      <c r="V163" s="4">
        <f>IF(ISNUMBER(T163),ABS(R163-T163),"")</f>
        <v/>
      </c>
      <c r="W163">
        <f>IF(OR(ISNUMBER(SEARCH("siding",D163)),ISNUMBER(SEARCH("rcr",D163)),ISNUMBER(SEARCH("rail",D163)),ISNUMBER(SEARCH("wagon",D163))),"Yes - siding/rail in title","Check")</f>
        <v/>
      </c>
      <c r="X163">
        <f>Settings!$B$6</f>
        <v/>
      </c>
    </row>
    <row r="164">
      <c r="A164" t="inlineStr">
        <is>
          <t>C 300-500 km</t>
        </is>
      </c>
      <c r="B164" t="inlineStr">
        <is>
          <t>13548637</t>
        </is>
      </c>
      <c r="C164" t="inlineStr">
        <is>
          <t>GEM/2025/B/6074984</t>
        </is>
      </c>
      <c r="D164" t="inlineStr">
        <is>
          <t>domestic coal for ntpc</t>
        </is>
      </c>
      <c r="E164" t="inlineStr">
        <is>
          <t>Coal supply</t>
        </is>
      </c>
      <c r="F164" t="inlineStr">
        <is>
          <t>Damodar Valley Corporation</t>
        </is>
      </c>
      <c r="G164" t="inlineStr">
        <is>
          <t>West Bengal</t>
        </is>
      </c>
      <c r="H164" t="inlineStr">
        <is>
          <t>Purulia</t>
        </is>
      </c>
      <c r="I164" t="inlineStr">
        <is>
          <t>2025-05-15</t>
        </is>
      </c>
      <c r="J164" t="inlineStr">
        <is>
          <t>AOC</t>
        </is>
      </c>
      <c r="K164" t="inlineStr">
        <is>
          <t>Godavari Commodities Limited, Sendoz Commercials Private Limited</t>
        </is>
      </c>
      <c r="L164" t="inlineStr"/>
      <c r="M164" t="inlineStr">
        <is>
          <t>5 named / 22</t>
        </is>
      </c>
      <c r="N164" t="n">
        <v>723</v>
      </c>
      <c r="O164" t="n">
        <v>343</v>
      </c>
      <c r="P164">
        <f>MAX(O164,Settings!$B$13)*Settings!$B$7</f>
        <v/>
      </c>
      <c r="Q164">
        <f>MAX(O164,Settings!$B$13)*Settings!$B$8</f>
        <v/>
      </c>
      <c r="R164" s="4">
        <f>MAX(P164*Settings!$B$5,IF(ISNUMBER(Settings!$B$12),Settings!$B$12,0))*(1+IF(Settings!$B$11="Y",0,Settings!$B$10/100))+N(Settings!$B$9)</f>
        <v/>
      </c>
      <c r="S164" s="4">
        <f>IF(Q164&gt;1000,"beyond table",IFERROR(LOOKUP(Q164,'FOIS 145A'!$A$2:$A$22,'FOIS 145A'!$C$2:$C$22),""))</f>
        <v/>
      </c>
      <c r="T164" s="4">
        <f>IF(ISNUMBER(S164),S164*(1+IF(Settings!$B$11="Y",0,Settings!$B$10/100))+2*N(Settings!$B$9),"")</f>
        <v/>
      </c>
      <c r="U164">
        <f>IF(ISNUMBER(T164),IF(T164&lt;R164,"Rail","Road"),"")</f>
        <v/>
      </c>
      <c r="V164" s="4">
        <f>IF(ISNUMBER(T164),ABS(R164-T164),"")</f>
        <v/>
      </c>
      <c r="W164">
        <f>IF(OR(ISNUMBER(SEARCH("siding",D164)),ISNUMBER(SEARCH("rcr",D164)),ISNUMBER(SEARCH("rail",D164)),ISNUMBER(SEARCH("wagon",D164))),"Yes - siding/rail in title","Check")</f>
        <v/>
      </c>
      <c r="X164">
        <f>Settings!$B$6</f>
        <v/>
      </c>
    </row>
    <row r="165">
      <c r="A165" t="inlineStr">
        <is>
          <t>C 300-500 km</t>
        </is>
      </c>
      <c r="B165" t="inlineStr">
        <is>
          <t>17643781</t>
        </is>
      </c>
      <c r="C165" t="inlineStr">
        <is>
          <t>GEM/2026/B/7607511</t>
        </is>
      </c>
      <c r="D165" t="inlineStr">
        <is>
          <t>handling and transport on lumpsum basis - handling service, annual contract for unloading of domestic , imported coal rakes ( bobr or boxn),</t>
        </is>
      </c>
      <c r="E165" t="inlineStr">
        <is>
          <t>Coal transport (RCR / siding)</t>
        </is>
      </c>
      <c r="F165" t="inlineStr">
        <is>
          <t>Damodar Valley Corporation</t>
        </is>
      </c>
      <c r="G165" t="inlineStr">
        <is>
          <t>West Bengal</t>
        </is>
      </c>
      <c r="H165" t="inlineStr">
        <is>
          <t>Purulia</t>
        </is>
      </c>
      <c r="I165" t="inlineStr">
        <is>
          <t>2026-07-06</t>
        </is>
      </c>
      <c r="J165" t="inlineStr">
        <is>
          <t>AOC</t>
        </is>
      </c>
      <c r="K165" t="inlineStr">
        <is>
          <t>Optiminer Executors Private Limited</t>
        </is>
      </c>
      <c r="L165" t="inlineStr"/>
      <c r="M165" t="inlineStr">
        <is>
          <t>5 named / 9</t>
        </is>
      </c>
      <c r="N165" t="n">
        <v>8.279999999999999</v>
      </c>
      <c r="O165" t="n">
        <v>343</v>
      </c>
      <c r="P165">
        <f>MAX(O165,Settings!$B$13)*Settings!$B$7</f>
        <v/>
      </c>
      <c r="Q165">
        <f>MAX(O165,Settings!$B$13)*Settings!$B$8</f>
        <v/>
      </c>
      <c r="R165" s="4">
        <f>MAX(P165*Settings!$B$5,IF(ISNUMBER(Settings!$B$12),Settings!$B$12,0))*(1+IF(Settings!$B$11="Y",0,Settings!$B$10/100))+N(Settings!$B$9)</f>
        <v/>
      </c>
      <c r="S165" s="4">
        <f>IF(Q165&gt;1000,"beyond table",IFERROR(LOOKUP(Q165,'FOIS 145A'!$A$2:$A$22,'FOIS 145A'!$C$2:$C$22),""))</f>
        <v/>
      </c>
      <c r="T165" s="4">
        <f>IF(ISNUMBER(S165),S165*(1+IF(Settings!$B$11="Y",0,Settings!$B$10/100))+2*N(Settings!$B$9),"")</f>
        <v/>
      </c>
      <c r="U165">
        <f>IF(ISNUMBER(T165),IF(T165&lt;R165,"Rail","Road"),"")</f>
        <v/>
      </c>
      <c r="V165" s="4">
        <f>IF(ISNUMBER(T165),ABS(R165-T165),"")</f>
        <v/>
      </c>
      <c r="W165">
        <f>IF(OR(ISNUMBER(SEARCH("siding",D165)),ISNUMBER(SEARCH("rcr",D165)),ISNUMBER(SEARCH("rail",D165)),ISNUMBER(SEARCH("wagon",D165))),"Yes - siding/rail in title","Check")</f>
        <v/>
      </c>
      <c r="X165">
        <f>Settings!$B$6</f>
        <v/>
      </c>
    </row>
    <row r="166">
      <c r="A166" t="inlineStr">
        <is>
          <t>C 300-500 km</t>
        </is>
      </c>
      <c r="B166" t="inlineStr">
        <is>
          <t>16054040</t>
        </is>
      </c>
      <c r="C166" t="inlineStr">
        <is>
          <t>2025_DVC_236287_1</t>
        </is>
      </c>
      <c r="D166" t="inlineStr">
        <is>
          <t>loading of coal at colliery/colliery pit head/stack yard and transportation of coal by road with dumpers/ tippers/ hyva from different colli</t>
        </is>
      </c>
      <c r="E166" t="inlineStr">
        <is>
          <t>Coal transport (road)</t>
        </is>
      </c>
      <c r="F166" t="inlineStr">
        <is>
          <t>Damodar Valley Corporation</t>
        </is>
      </c>
      <c r="G166" t="inlineStr">
        <is>
          <t>West Bengal</t>
        </is>
      </c>
      <c r="H166" t="inlineStr">
        <is>
          <t>Purulia</t>
        </is>
      </c>
      <c r="I166" t="inlineStr">
        <is>
          <t>2025-06-20</t>
        </is>
      </c>
      <c r="J166" t="inlineStr">
        <is>
          <t>Financial</t>
        </is>
      </c>
      <c r="K166" t="inlineStr">
        <is>
          <t>-</t>
        </is>
      </c>
      <c r="L166" t="inlineStr">
        <is>
          <t>Godavari Commodities</t>
        </is>
      </c>
      <c r="M166" t="inlineStr">
        <is>
          <t>5 named / 14</t>
        </is>
      </c>
      <c r="O166" t="n">
        <v>343</v>
      </c>
      <c r="P166">
        <f>MAX(O166,Settings!$B$13)*Settings!$B$7</f>
        <v/>
      </c>
      <c r="Q166">
        <f>MAX(O166,Settings!$B$13)*Settings!$B$8</f>
        <v/>
      </c>
      <c r="R166" s="4">
        <f>MAX(P166*Settings!$B$5,IF(ISNUMBER(Settings!$B$12),Settings!$B$12,0))*(1+IF(Settings!$B$11="Y",0,Settings!$B$10/100))+N(Settings!$B$9)</f>
        <v/>
      </c>
      <c r="S166" s="4">
        <f>IF(Q166&gt;1000,"beyond table",IFERROR(LOOKUP(Q166,'FOIS 145A'!$A$2:$A$22,'FOIS 145A'!$C$2:$C$22),""))</f>
        <v/>
      </c>
      <c r="T166" s="4">
        <f>IF(ISNUMBER(S166),S166*(1+IF(Settings!$B$11="Y",0,Settings!$B$10/100))+2*N(Settings!$B$9),"")</f>
        <v/>
      </c>
      <c r="U166">
        <f>IF(ISNUMBER(T166),IF(T166&lt;R166,"Rail","Road"),"")</f>
        <v/>
      </c>
      <c r="V166" s="4">
        <f>IF(ISNUMBER(T166),ABS(R166-T166),"")</f>
        <v/>
      </c>
      <c r="W166">
        <f>IF(OR(ISNUMBER(SEARCH("siding",D166)),ISNUMBER(SEARCH("rcr",D166)),ISNUMBER(SEARCH("rail",D166)),ISNUMBER(SEARCH("wagon",D166))),"Yes - siding/rail in title","Check")</f>
        <v/>
      </c>
      <c r="X166">
        <f>Settings!$B$6</f>
        <v/>
      </c>
    </row>
    <row r="167">
      <c r="A167" t="inlineStr">
        <is>
          <t>C 300-500 km</t>
        </is>
      </c>
      <c r="B167" t="inlineStr">
        <is>
          <t>16578408</t>
        </is>
      </c>
      <c r="C167" t="inlineStr">
        <is>
          <t>2025_DVC_232846_1</t>
        </is>
      </c>
      <c r="D167" t="inlineStr">
        <is>
          <t>contract for loading of coal at colliery colliery pit head stack yard and transportation of coal by road with dumpers  tippers  hyva from di</t>
        </is>
      </c>
      <c r="E167" t="inlineStr">
        <is>
          <t>Coal transport (road)</t>
        </is>
      </c>
      <c r="F167" t="inlineStr">
        <is>
          <t>Damodar Valley Corporation</t>
        </is>
      </c>
      <c r="G167" t="inlineStr">
        <is>
          <t>West Bengal</t>
        </is>
      </c>
      <c r="H167" t="inlineStr">
        <is>
          <t>Purulia</t>
        </is>
      </c>
      <c r="I167" t="inlineStr">
        <is>
          <t>2025-05-21</t>
        </is>
      </c>
      <c r="J167" t="inlineStr">
        <is>
          <t>Financial</t>
        </is>
      </c>
      <c r="K167" t="inlineStr">
        <is>
          <t>-</t>
        </is>
      </c>
      <c r="L167" t="inlineStr"/>
      <c r="M167" t="inlineStr">
        <is>
          <t>5 named / 15</t>
        </is>
      </c>
      <c r="O167" t="n">
        <v>343</v>
      </c>
      <c r="P167">
        <f>MAX(O167,Settings!$B$13)*Settings!$B$7</f>
        <v/>
      </c>
      <c r="Q167">
        <f>MAX(O167,Settings!$B$13)*Settings!$B$8</f>
        <v/>
      </c>
      <c r="R167" s="4">
        <f>MAX(P167*Settings!$B$5,IF(ISNUMBER(Settings!$B$12),Settings!$B$12,0))*(1+IF(Settings!$B$11="Y",0,Settings!$B$10/100))+N(Settings!$B$9)</f>
        <v/>
      </c>
      <c r="S167" s="4">
        <f>IF(Q167&gt;1000,"beyond table",IFERROR(LOOKUP(Q167,'FOIS 145A'!$A$2:$A$22,'FOIS 145A'!$C$2:$C$22),""))</f>
        <v/>
      </c>
      <c r="T167" s="4">
        <f>IF(ISNUMBER(S167),S167*(1+IF(Settings!$B$11="Y",0,Settings!$B$10/100))+2*N(Settings!$B$9),"")</f>
        <v/>
      </c>
      <c r="U167">
        <f>IF(ISNUMBER(T167),IF(T167&lt;R167,"Rail","Road"),"")</f>
        <v/>
      </c>
      <c r="V167" s="4">
        <f>IF(ISNUMBER(T167),ABS(R167-T167),"")</f>
        <v/>
      </c>
      <c r="W167">
        <f>IF(OR(ISNUMBER(SEARCH("siding",D167)),ISNUMBER(SEARCH("rcr",D167)),ISNUMBER(SEARCH("rail",D167)),ISNUMBER(SEARCH("wagon",D167))),"Yes - siding/rail in title","Check")</f>
        <v/>
      </c>
      <c r="X167">
        <f>Settings!$B$6</f>
        <v/>
      </c>
    </row>
    <row r="168">
      <c r="A168" t="inlineStr">
        <is>
          <t>C 300-500 km</t>
        </is>
      </c>
      <c r="B168" t="inlineStr">
        <is>
          <t>18059277</t>
        </is>
      </c>
      <c r="C168" t="inlineStr">
        <is>
          <t>GEM/2026/B/7773276</t>
        </is>
      </c>
      <c r="D168" t="inlineStr">
        <is>
          <t>handling &amp; transport service, feeding, crushing, loading &amp; transportation of 12.0 l te coal from surface stock of karo ocp to karo railway s</t>
        </is>
      </c>
      <c r="E168" t="inlineStr">
        <is>
          <t>Coal transport (RCR / siding)</t>
        </is>
      </c>
      <c r="F168" t="inlineStr">
        <is>
          <t>Central Coalfields Limited</t>
        </is>
      </c>
      <c r="G168" t="inlineStr">
        <is>
          <t>Jharkhand</t>
        </is>
      </c>
      <c r="H168" t="inlineStr">
        <is>
          <t>Bokaro</t>
        </is>
      </c>
      <c r="I168" t="inlineStr">
        <is>
          <t>2026-07-25</t>
        </is>
      </c>
      <c r="J168" t="inlineStr">
        <is>
          <t>AOC</t>
        </is>
      </c>
      <c r="K168" t="inlineStr">
        <is>
          <t>Dadan Singh Llp</t>
        </is>
      </c>
      <c r="L168" t="inlineStr"/>
      <c r="M168" t="inlineStr">
        <is>
          <t>5 named / 6</t>
        </is>
      </c>
      <c r="N168" t="n">
        <v>10.67</v>
      </c>
      <c r="O168" t="n">
        <v>344</v>
      </c>
      <c r="P168">
        <f>MAX(O168,Settings!$B$13)*Settings!$B$7</f>
        <v/>
      </c>
      <c r="Q168">
        <f>MAX(O168,Settings!$B$13)*Settings!$B$8</f>
        <v/>
      </c>
      <c r="R168" s="4">
        <f>MAX(P168*Settings!$B$5,IF(ISNUMBER(Settings!$B$12),Settings!$B$12,0))*(1+IF(Settings!$B$11="Y",0,Settings!$B$10/100))+N(Settings!$B$9)</f>
        <v/>
      </c>
      <c r="S168" s="4">
        <f>IF(Q168&gt;1000,"beyond table",IFERROR(LOOKUP(Q168,'FOIS 145A'!$A$2:$A$22,'FOIS 145A'!$C$2:$C$22),""))</f>
        <v/>
      </c>
      <c r="T168" s="4">
        <f>IF(ISNUMBER(S168),S168*(1+IF(Settings!$B$11="Y",0,Settings!$B$10/100))+2*N(Settings!$B$9),"")</f>
        <v/>
      </c>
      <c r="U168">
        <f>IF(ISNUMBER(T168),IF(T168&lt;R168,"Rail","Road"),"")</f>
        <v/>
      </c>
      <c r="V168" s="4">
        <f>IF(ISNUMBER(T168),ABS(R168-T168),"")</f>
        <v/>
      </c>
      <c r="W168">
        <f>IF(OR(ISNUMBER(SEARCH("siding",D168)),ISNUMBER(SEARCH("rcr",D168)),ISNUMBER(SEARCH("rail",D168)),ISNUMBER(SEARCH("wagon",D168))),"Yes - siding/rail in title","Check")</f>
        <v/>
      </c>
      <c r="X168">
        <f>Settings!$B$6</f>
        <v/>
      </c>
    </row>
    <row r="169">
      <c r="A169" t="inlineStr">
        <is>
          <t>C 300-500 km</t>
        </is>
      </c>
      <c r="B169" t="inlineStr">
        <is>
          <t>18059003</t>
        </is>
      </c>
      <c r="C169" t="inlineStr">
        <is>
          <t>GEM/2026/B/7737726</t>
        </is>
      </c>
      <c r="D169" t="inlineStr">
        <is>
          <t xml:space="preserve">handling &amp; transport service, crushing, loading and transportation of coal from akk ocp to konar railway siding and pf-i of the jrd railway </t>
        </is>
      </c>
      <c r="E169" t="inlineStr">
        <is>
          <t>Coal transport (RCR / siding)</t>
        </is>
      </c>
      <c r="F169" t="inlineStr">
        <is>
          <t>Central Coalfields Limited</t>
        </is>
      </c>
      <c r="G169" t="inlineStr">
        <is>
          <t>Jharkhand</t>
        </is>
      </c>
      <c r="H169" t="inlineStr">
        <is>
          <t>Bokaro</t>
        </is>
      </c>
      <c r="I169" t="inlineStr">
        <is>
          <t>2026-07-17</t>
        </is>
      </c>
      <c r="J169" t="inlineStr">
        <is>
          <t>AOC</t>
        </is>
      </c>
      <c r="K169" t="inlineStr">
        <is>
          <t>R K Transport Private Limited</t>
        </is>
      </c>
      <c r="L169" t="inlineStr"/>
      <c r="M169" t="inlineStr">
        <is>
          <t>5 named / 8</t>
        </is>
      </c>
      <c r="N169" t="n">
        <v>13.43</v>
      </c>
      <c r="O169" t="n">
        <v>344</v>
      </c>
      <c r="P169">
        <f>MAX(O169,Settings!$B$13)*Settings!$B$7</f>
        <v/>
      </c>
      <c r="Q169">
        <f>MAX(O169,Settings!$B$13)*Settings!$B$8</f>
        <v/>
      </c>
      <c r="R169" s="4">
        <f>MAX(P169*Settings!$B$5,IF(ISNUMBER(Settings!$B$12),Settings!$B$12,0))*(1+IF(Settings!$B$11="Y",0,Settings!$B$10/100))+N(Settings!$B$9)</f>
        <v/>
      </c>
      <c r="S169" s="4">
        <f>IF(Q169&gt;1000,"beyond table",IFERROR(LOOKUP(Q169,'FOIS 145A'!$A$2:$A$22,'FOIS 145A'!$C$2:$C$22),""))</f>
        <v/>
      </c>
      <c r="T169" s="4">
        <f>IF(ISNUMBER(S169),S169*(1+IF(Settings!$B$11="Y",0,Settings!$B$10/100))+2*N(Settings!$B$9),"")</f>
        <v/>
      </c>
      <c r="U169">
        <f>IF(ISNUMBER(T169),IF(T169&lt;R169,"Rail","Road"),"")</f>
        <v/>
      </c>
      <c r="V169" s="4">
        <f>IF(ISNUMBER(T169),ABS(R169-T169),"")</f>
        <v/>
      </c>
      <c r="W169">
        <f>IF(OR(ISNUMBER(SEARCH("siding",D169)),ISNUMBER(SEARCH("rcr",D169)),ISNUMBER(SEARCH("rail",D169)),ISNUMBER(SEARCH("wagon",D169))),"Yes - siding/rail in title","Check")</f>
        <v/>
      </c>
      <c r="X169">
        <f>Settings!$B$6</f>
        <v/>
      </c>
    </row>
    <row r="170">
      <c r="A170" t="inlineStr">
        <is>
          <t>C 300-500 km</t>
        </is>
      </c>
      <c r="B170" t="inlineStr">
        <is>
          <t>16881310</t>
        </is>
      </c>
      <c r="C170" t="inlineStr">
        <is>
          <t>GEM/2026/B/7187172</t>
        </is>
      </c>
      <c r="D170" t="inlineStr">
        <is>
          <t>handling &amp; transport service, crushing, loading &amp; transportation of 9.0 l te coal from akk ocp to the konar railway siding, b&amp;k area for a p</t>
        </is>
      </c>
      <c r="E170" t="inlineStr">
        <is>
          <t>Coal transport (RCR / siding)</t>
        </is>
      </c>
      <c r="F170" t="inlineStr">
        <is>
          <t>Central Coalfields Limited</t>
        </is>
      </c>
      <c r="G170" t="inlineStr">
        <is>
          <t>Jharkhand</t>
        </is>
      </c>
      <c r="H170" t="inlineStr">
        <is>
          <t>Bokaro</t>
        </is>
      </c>
      <c r="I170" t="inlineStr">
        <is>
          <t>2026-02-18</t>
        </is>
      </c>
      <c r="J170" t="inlineStr">
        <is>
          <t>AOC</t>
        </is>
      </c>
      <c r="K170" t="inlineStr">
        <is>
          <t>M/S Dadan Singh</t>
        </is>
      </c>
      <c r="L170" t="inlineStr"/>
      <c r="M170" t="inlineStr">
        <is>
          <t>3 named / 3</t>
        </is>
      </c>
      <c r="N170" t="n">
        <v>6.14</v>
      </c>
      <c r="O170" t="n">
        <v>344</v>
      </c>
      <c r="P170">
        <f>MAX(O170,Settings!$B$13)*Settings!$B$7</f>
        <v/>
      </c>
      <c r="Q170">
        <f>MAX(O170,Settings!$B$13)*Settings!$B$8</f>
        <v/>
      </c>
      <c r="R170" s="4">
        <f>MAX(P170*Settings!$B$5,IF(ISNUMBER(Settings!$B$12),Settings!$B$12,0))*(1+IF(Settings!$B$11="Y",0,Settings!$B$10/100))+N(Settings!$B$9)</f>
        <v/>
      </c>
      <c r="S170" s="4">
        <f>IF(Q170&gt;1000,"beyond table",IFERROR(LOOKUP(Q170,'FOIS 145A'!$A$2:$A$22,'FOIS 145A'!$C$2:$C$22),""))</f>
        <v/>
      </c>
      <c r="T170" s="4">
        <f>IF(ISNUMBER(S170),S170*(1+IF(Settings!$B$11="Y",0,Settings!$B$10/100))+2*N(Settings!$B$9),"")</f>
        <v/>
      </c>
      <c r="U170">
        <f>IF(ISNUMBER(T170),IF(T170&lt;R170,"Rail","Road"),"")</f>
        <v/>
      </c>
      <c r="V170" s="4">
        <f>IF(ISNUMBER(T170),ABS(R170-T170),"")</f>
        <v/>
      </c>
      <c r="W170">
        <f>IF(OR(ISNUMBER(SEARCH("siding",D170)),ISNUMBER(SEARCH("rcr",D170)),ISNUMBER(SEARCH("rail",D170)),ISNUMBER(SEARCH("wagon",D170))),"Yes - siding/rail in title","Check")</f>
        <v/>
      </c>
      <c r="X170">
        <f>Settings!$B$6</f>
        <v/>
      </c>
    </row>
    <row r="171">
      <c r="A171" t="inlineStr">
        <is>
          <t>C 300-500 km</t>
        </is>
      </c>
      <c r="B171" t="inlineStr">
        <is>
          <t>16881118</t>
        </is>
      </c>
      <c r="C171" t="inlineStr">
        <is>
          <t>GEM/2025/B/6995758</t>
        </is>
      </c>
      <c r="D171" t="inlineStr">
        <is>
          <t xml:space="preserve">handling &amp; transport service, loading, crushing and transportation of coal from govindpur phase-ii ocp to jarangdih railway siding pf-ii of </t>
        </is>
      </c>
      <c r="E171" t="inlineStr">
        <is>
          <t>Coal transport (RCR / siding)</t>
        </is>
      </c>
      <c r="F171" t="inlineStr">
        <is>
          <t>Central Coalfields Limited</t>
        </is>
      </c>
      <c r="G171" t="inlineStr">
        <is>
          <t>Jharkhand</t>
        </is>
      </c>
      <c r="H171" t="inlineStr">
        <is>
          <t>Bokaro</t>
        </is>
      </c>
      <c r="I171" t="inlineStr">
        <is>
          <t>2025-12-27</t>
        </is>
      </c>
      <c r="J171" t="inlineStr">
        <is>
          <t>AOC</t>
        </is>
      </c>
      <c r="K171" t="inlineStr">
        <is>
          <t>Pandaveswar Mining And Industrial Works</t>
        </is>
      </c>
      <c r="L171" t="inlineStr"/>
      <c r="M171" t="inlineStr">
        <is>
          <t>5 named / 11</t>
        </is>
      </c>
      <c r="N171" t="n">
        <v>83.31</v>
      </c>
      <c r="O171" t="n">
        <v>344</v>
      </c>
      <c r="P171">
        <f>MAX(O171,Settings!$B$13)*Settings!$B$7</f>
        <v/>
      </c>
      <c r="Q171">
        <f>MAX(O171,Settings!$B$13)*Settings!$B$8</f>
        <v/>
      </c>
      <c r="R171" s="4">
        <f>MAX(P171*Settings!$B$5,IF(ISNUMBER(Settings!$B$12),Settings!$B$12,0))*(1+IF(Settings!$B$11="Y",0,Settings!$B$10/100))+N(Settings!$B$9)</f>
        <v/>
      </c>
      <c r="S171" s="4">
        <f>IF(Q171&gt;1000,"beyond table",IFERROR(LOOKUP(Q171,'FOIS 145A'!$A$2:$A$22,'FOIS 145A'!$C$2:$C$22),""))</f>
        <v/>
      </c>
      <c r="T171" s="4">
        <f>IF(ISNUMBER(S171),S171*(1+IF(Settings!$B$11="Y",0,Settings!$B$10/100))+2*N(Settings!$B$9),"")</f>
        <v/>
      </c>
      <c r="U171">
        <f>IF(ISNUMBER(T171),IF(T171&lt;R171,"Rail","Road"),"")</f>
        <v/>
      </c>
      <c r="V171" s="4">
        <f>IF(ISNUMBER(T171),ABS(R171-T171),"")</f>
        <v/>
      </c>
      <c r="W171">
        <f>IF(OR(ISNUMBER(SEARCH("siding",D171)),ISNUMBER(SEARCH("rcr",D171)),ISNUMBER(SEARCH("rail",D171)),ISNUMBER(SEARCH("wagon",D171))),"Yes - siding/rail in title","Check")</f>
        <v/>
      </c>
      <c r="X171">
        <f>Settings!$B$6</f>
        <v/>
      </c>
    </row>
    <row r="172">
      <c r="A172" t="inlineStr">
        <is>
          <t>C 300-500 km</t>
        </is>
      </c>
      <c r="B172" t="inlineStr">
        <is>
          <t>17330697</t>
        </is>
      </c>
      <c r="C172" t="inlineStr">
        <is>
          <t>GEM/2026/B/7510863</t>
        </is>
      </c>
      <c r="D172" t="inlineStr">
        <is>
          <t>handling &amp; transport service, feeding, crushing, loading &amp; transportation of coal for 90 days as per scope of work</t>
        </is>
      </c>
      <c r="E172" t="inlineStr">
        <is>
          <t>Coal transport (road)</t>
        </is>
      </c>
      <c r="F172" t="inlineStr">
        <is>
          <t>Central Coalfields Limited</t>
        </is>
      </c>
      <c r="G172" t="inlineStr">
        <is>
          <t>Jharkhand</t>
        </is>
      </c>
      <c r="H172" t="inlineStr">
        <is>
          <t>Bokaro</t>
        </is>
      </c>
      <c r="I172" t="inlineStr">
        <is>
          <t>2026-05-25</t>
        </is>
      </c>
      <c r="J172" t="inlineStr">
        <is>
          <t>AOC</t>
        </is>
      </c>
      <c r="K172" t="inlineStr">
        <is>
          <t>M/S Dadan Singh</t>
        </is>
      </c>
      <c r="L172" t="inlineStr"/>
      <c r="M172" t="inlineStr">
        <is>
          <t>3 named / 3</t>
        </is>
      </c>
      <c r="N172" t="n">
        <v>2.38</v>
      </c>
      <c r="O172" t="n">
        <v>344</v>
      </c>
      <c r="P172">
        <f>MAX(O172,Settings!$B$13)*Settings!$B$7</f>
        <v/>
      </c>
      <c r="Q172">
        <f>MAX(O172,Settings!$B$13)*Settings!$B$8</f>
        <v/>
      </c>
      <c r="R172" s="4">
        <f>MAX(P172*Settings!$B$5,IF(ISNUMBER(Settings!$B$12),Settings!$B$12,0))*(1+IF(Settings!$B$11="Y",0,Settings!$B$10/100))+N(Settings!$B$9)</f>
        <v/>
      </c>
      <c r="S172" s="4">
        <f>IF(Q172&gt;1000,"beyond table",IFERROR(LOOKUP(Q172,'FOIS 145A'!$A$2:$A$22,'FOIS 145A'!$C$2:$C$22),""))</f>
        <v/>
      </c>
      <c r="T172" s="4">
        <f>IF(ISNUMBER(S172),S172*(1+IF(Settings!$B$11="Y",0,Settings!$B$10/100))+2*N(Settings!$B$9),"")</f>
        <v/>
      </c>
      <c r="U172">
        <f>IF(ISNUMBER(T172),IF(T172&lt;R172,"Rail","Road"),"")</f>
        <v/>
      </c>
      <c r="V172" s="4">
        <f>IF(ISNUMBER(T172),ABS(R172-T172),"")</f>
        <v/>
      </c>
      <c r="W172">
        <f>IF(OR(ISNUMBER(SEARCH("siding",D172)),ISNUMBER(SEARCH("rcr",D172)),ISNUMBER(SEARCH("rail",D172)),ISNUMBER(SEARCH("wagon",D172))),"Yes - siding/rail in title","Check")</f>
        <v/>
      </c>
      <c r="X172">
        <f>Settings!$B$6</f>
        <v/>
      </c>
    </row>
    <row r="173">
      <c r="A173" t="inlineStr">
        <is>
          <t>C 300-500 km</t>
        </is>
      </c>
      <c r="B173" t="inlineStr">
        <is>
          <t>17071956</t>
        </is>
      </c>
      <c r="C173" t="inlineStr">
        <is>
          <t>GEM/2026/B/7206619</t>
        </is>
      </c>
      <c r="D173" t="inlineStr">
        <is>
          <t>handling &amp; transport service, crushing loading &amp; transport of coal</t>
        </is>
      </c>
      <c r="E173" t="inlineStr">
        <is>
          <t>Coal transport (road)</t>
        </is>
      </c>
      <c r="F173" t="inlineStr">
        <is>
          <t>Central Coalfields Limited</t>
        </is>
      </c>
      <c r="G173" t="inlineStr">
        <is>
          <t>Jharkhand</t>
        </is>
      </c>
      <c r="H173" t="inlineStr">
        <is>
          <t>Bokaro</t>
        </is>
      </c>
      <c r="I173" t="inlineStr">
        <is>
          <t>2026-03-02</t>
        </is>
      </c>
      <c r="J173" t="inlineStr">
        <is>
          <t>AOC</t>
        </is>
      </c>
      <c r="K173" t="inlineStr">
        <is>
          <t>Variant Commercial Private Limited</t>
        </is>
      </c>
      <c r="L173" t="inlineStr"/>
      <c r="M173" t="inlineStr">
        <is>
          <t>2 named / 2</t>
        </is>
      </c>
      <c r="N173" t="n">
        <v>2.44</v>
      </c>
      <c r="O173" t="n">
        <v>344</v>
      </c>
      <c r="P173">
        <f>MAX(O173,Settings!$B$13)*Settings!$B$7</f>
        <v/>
      </c>
      <c r="Q173">
        <f>MAX(O173,Settings!$B$13)*Settings!$B$8</f>
        <v/>
      </c>
      <c r="R173" s="4">
        <f>MAX(P173*Settings!$B$5,IF(ISNUMBER(Settings!$B$12),Settings!$B$12,0))*(1+IF(Settings!$B$11="Y",0,Settings!$B$10/100))+N(Settings!$B$9)</f>
        <v/>
      </c>
      <c r="S173" s="4">
        <f>IF(Q173&gt;1000,"beyond table",IFERROR(LOOKUP(Q173,'FOIS 145A'!$A$2:$A$22,'FOIS 145A'!$C$2:$C$22),""))</f>
        <v/>
      </c>
      <c r="T173" s="4">
        <f>IF(ISNUMBER(S173),S173*(1+IF(Settings!$B$11="Y",0,Settings!$B$10/100))+2*N(Settings!$B$9),"")</f>
        <v/>
      </c>
      <c r="U173">
        <f>IF(ISNUMBER(T173),IF(T173&lt;R173,"Rail","Road"),"")</f>
        <v/>
      </c>
      <c r="V173" s="4">
        <f>IF(ISNUMBER(T173),ABS(R173-T173),"")</f>
        <v/>
      </c>
      <c r="W173">
        <f>IF(OR(ISNUMBER(SEARCH("siding",D173)),ISNUMBER(SEARCH("rcr",D173)),ISNUMBER(SEARCH("rail",D173)),ISNUMBER(SEARCH("wagon",D173))),"Yes - siding/rail in title","Check")</f>
        <v/>
      </c>
      <c r="X173">
        <f>Settings!$B$6</f>
        <v/>
      </c>
    </row>
    <row r="174">
      <c r="A174" t="inlineStr">
        <is>
          <t>C 300-500 km</t>
        </is>
      </c>
      <c r="B174" t="inlineStr">
        <is>
          <t>16618738</t>
        </is>
      </c>
      <c r="C174" t="inlineStr">
        <is>
          <t>GEM/2025/B/6959729</t>
        </is>
      </c>
      <c r="D174" t="inlineStr">
        <is>
          <t xml:space="preserve">handling &amp; transport service, loading of coal by pl into tipping trucks at crusher site, transportation of crushed coal from feeder breaker </t>
        </is>
      </c>
      <c r="E174" t="inlineStr">
        <is>
          <t>Coal transport (road)</t>
        </is>
      </c>
      <c r="F174" t="inlineStr">
        <is>
          <t>Central Coalfields Limited</t>
        </is>
      </c>
      <c r="G174" t="inlineStr">
        <is>
          <t>Jharkhand</t>
        </is>
      </c>
      <c r="H174" t="inlineStr">
        <is>
          <t>Bokaro</t>
        </is>
      </c>
      <c r="I174" t="inlineStr">
        <is>
          <t>2025-12-18</t>
        </is>
      </c>
      <c r="J174" t="inlineStr">
        <is>
          <t>AOC</t>
        </is>
      </c>
      <c r="K174" t="inlineStr">
        <is>
          <t>Jai Ma Tara Projects</t>
        </is>
      </c>
      <c r="L174" t="inlineStr"/>
      <c r="M174" t="inlineStr">
        <is>
          <t>5 named / 11</t>
        </is>
      </c>
      <c r="N174" t="n">
        <v>15.93</v>
      </c>
      <c r="O174" t="n">
        <v>344</v>
      </c>
      <c r="P174">
        <f>MAX(O174,Settings!$B$13)*Settings!$B$7</f>
        <v/>
      </c>
      <c r="Q174">
        <f>MAX(O174,Settings!$B$13)*Settings!$B$8</f>
        <v/>
      </c>
      <c r="R174" s="4">
        <f>MAX(P174*Settings!$B$5,IF(ISNUMBER(Settings!$B$12),Settings!$B$12,0))*(1+IF(Settings!$B$11="Y",0,Settings!$B$10/100))+N(Settings!$B$9)</f>
        <v/>
      </c>
      <c r="S174" s="4">
        <f>IF(Q174&gt;1000,"beyond table",IFERROR(LOOKUP(Q174,'FOIS 145A'!$A$2:$A$22,'FOIS 145A'!$C$2:$C$22),""))</f>
        <v/>
      </c>
      <c r="T174" s="4">
        <f>IF(ISNUMBER(S174),S174*(1+IF(Settings!$B$11="Y",0,Settings!$B$10/100))+2*N(Settings!$B$9),"")</f>
        <v/>
      </c>
      <c r="U174">
        <f>IF(ISNUMBER(T174),IF(T174&lt;R174,"Rail","Road"),"")</f>
        <v/>
      </c>
      <c r="V174" s="4">
        <f>IF(ISNUMBER(T174),ABS(R174-T174),"")</f>
        <v/>
      </c>
      <c r="W174">
        <f>IF(OR(ISNUMBER(SEARCH("siding",D174)),ISNUMBER(SEARCH("rcr",D174)),ISNUMBER(SEARCH("rail",D174)),ISNUMBER(SEARCH("wagon",D174))),"Yes - siding/rail in title","Check")</f>
        <v/>
      </c>
      <c r="X174">
        <f>Settings!$B$6</f>
        <v/>
      </c>
    </row>
    <row r="175">
      <c r="A175" t="inlineStr">
        <is>
          <t>C 300-500 km</t>
        </is>
      </c>
      <c r="B175" t="inlineStr">
        <is>
          <t>15223366</t>
        </is>
      </c>
      <c r="C175" t="inlineStr">
        <is>
          <t>GEM/2025/B/6574796</t>
        </is>
      </c>
      <c r="D175" t="inlineStr">
        <is>
          <t>handling service, transport service, handling &amp; transport service, “loading and transportation of 11.24 lakh te. coal by cpl and tippers fro</t>
        </is>
      </c>
      <c r="E175" t="inlineStr">
        <is>
          <t>Coal transport (road)</t>
        </is>
      </c>
      <c r="F175" t="inlineStr">
        <is>
          <t>Central Coalfields Limited</t>
        </is>
      </c>
      <c r="G175" t="inlineStr">
        <is>
          <t>Jharkhand</t>
        </is>
      </c>
      <c r="H175" t="inlineStr">
        <is>
          <t>Bokaro</t>
        </is>
      </c>
      <c r="I175" t="inlineStr">
        <is>
          <t>2025-08-29</t>
        </is>
      </c>
      <c r="J175" t="inlineStr">
        <is>
          <t>AOC</t>
        </is>
      </c>
      <c r="K175" t="inlineStr">
        <is>
          <t>Dadan Singh Llp</t>
        </is>
      </c>
      <c r="L175" t="inlineStr"/>
      <c r="M175" t="inlineStr">
        <is>
          <t>5 named / 5</t>
        </is>
      </c>
      <c r="N175" t="n">
        <v>10.44</v>
      </c>
      <c r="O175" t="n">
        <v>344</v>
      </c>
      <c r="P175">
        <f>MAX(O175,Settings!$B$13)*Settings!$B$7</f>
        <v/>
      </c>
      <c r="Q175">
        <f>MAX(O175,Settings!$B$13)*Settings!$B$8</f>
        <v/>
      </c>
      <c r="R175" s="4">
        <f>MAX(P175*Settings!$B$5,IF(ISNUMBER(Settings!$B$12),Settings!$B$12,0))*(1+IF(Settings!$B$11="Y",0,Settings!$B$10/100))+N(Settings!$B$9)</f>
        <v/>
      </c>
      <c r="S175" s="4">
        <f>IF(Q175&gt;1000,"beyond table",IFERROR(LOOKUP(Q175,'FOIS 145A'!$A$2:$A$22,'FOIS 145A'!$C$2:$C$22),""))</f>
        <v/>
      </c>
      <c r="T175" s="4">
        <f>IF(ISNUMBER(S175),S175*(1+IF(Settings!$B$11="Y",0,Settings!$B$10/100))+2*N(Settings!$B$9),"")</f>
        <v/>
      </c>
      <c r="U175">
        <f>IF(ISNUMBER(T175),IF(T175&lt;R175,"Rail","Road"),"")</f>
        <v/>
      </c>
      <c r="V175" s="4">
        <f>IF(ISNUMBER(T175),ABS(R175-T175),"")</f>
        <v/>
      </c>
      <c r="W175">
        <f>IF(OR(ISNUMBER(SEARCH("siding",D175)),ISNUMBER(SEARCH("rcr",D175)),ISNUMBER(SEARCH("rail",D175)),ISNUMBER(SEARCH("wagon",D175))),"Yes - siding/rail in title","Check")</f>
        <v/>
      </c>
      <c r="X175">
        <f>Settings!$B$6</f>
        <v/>
      </c>
    </row>
    <row r="176">
      <c r="A176" t="inlineStr">
        <is>
          <t>C 300-500 km</t>
        </is>
      </c>
      <c r="B176" t="inlineStr">
        <is>
          <t>15800511</t>
        </is>
      </c>
      <c r="C176" t="inlineStr">
        <is>
          <t>2025_DVC_232985_1</t>
        </is>
      </c>
      <c r="D176" t="inlineStr">
        <is>
          <t xml:space="preserve">annual contract for loading and transportation of coal by road with dumper/ tipper/hywa from different collieries of ccl/ bccl to btps coal </t>
        </is>
      </c>
      <c r="E176" t="inlineStr">
        <is>
          <t>Coal transport (road)</t>
        </is>
      </c>
      <c r="F176" t="inlineStr">
        <is>
          <t>Damodar Valley Corporation</t>
        </is>
      </c>
      <c r="G176" t="inlineStr">
        <is>
          <t>Jharkhand</t>
        </is>
      </c>
      <c r="H176" t="inlineStr">
        <is>
          <t>Bokaro</t>
        </is>
      </c>
      <c r="I176" t="inlineStr">
        <is>
          <t>2025-05-22</t>
        </is>
      </c>
      <c r="J176" t="inlineStr">
        <is>
          <t>Financial</t>
        </is>
      </c>
      <c r="K176" t="inlineStr">
        <is>
          <t>-</t>
        </is>
      </c>
      <c r="L176" t="inlineStr"/>
      <c r="M176" t="inlineStr">
        <is>
          <t>5 named / 19</t>
        </is>
      </c>
      <c r="O176" t="n">
        <v>344</v>
      </c>
      <c r="P176">
        <f>MAX(O176,Settings!$B$13)*Settings!$B$7</f>
        <v/>
      </c>
      <c r="Q176">
        <f>MAX(O176,Settings!$B$13)*Settings!$B$8</f>
        <v/>
      </c>
      <c r="R176" s="4">
        <f>MAX(P176*Settings!$B$5,IF(ISNUMBER(Settings!$B$12),Settings!$B$12,0))*(1+IF(Settings!$B$11="Y",0,Settings!$B$10/100))+N(Settings!$B$9)</f>
        <v/>
      </c>
      <c r="S176" s="4">
        <f>IF(Q176&gt;1000,"beyond table",IFERROR(LOOKUP(Q176,'FOIS 145A'!$A$2:$A$22,'FOIS 145A'!$C$2:$C$22),""))</f>
        <v/>
      </c>
      <c r="T176" s="4">
        <f>IF(ISNUMBER(S176),S176*(1+IF(Settings!$B$11="Y",0,Settings!$B$10/100))+2*N(Settings!$B$9),"")</f>
        <v/>
      </c>
      <c r="U176">
        <f>IF(ISNUMBER(T176),IF(T176&lt;R176,"Rail","Road"),"")</f>
        <v/>
      </c>
      <c r="V176" s="4">
        <f>IF(ISNUMBER(T176),ABS(R176-T176),"")</f>
        <v/>
      </c>
      <c r="W176">
        <f>IF(OR(ISNUMBER(SEARCH("siding",D176)),ISNUMBER(SEARCH("rcr",D176)),ISNUMBER(SEARCH("rail",D176)),ISNUMBER(SEARCH("wagon",D176))),"Yes - siding/rail in title","Check")</f>
        <v/>
      </c>
      <c r="X176">
        <f>Settings!$B$6</f>
        <v/>
      </c>
    </row>
    <row r="177">
      <c r="A177" t="inlineStr">
        <is>
          <t>C 300-500 km</t>
        </is>
      </c>
      <c r="B177" t="inlineStr">
        <is>
          <t>15695787</t>
        </is>
      </c>
      <c r="C177" t="inlineStr">
        <is>
          <t>2025_DVC_232656_1</t>
        </is>
      </c>
      <c r="D177" t="inlineStr">
        <is>
          <t>contract for loading, transportation of coal by road mode from different collieries of ccl to dvc ctps coal yard and unloading in the slab 0</t>
        </is>
      </c>
      <c r="E177" t="inlineStr">
        <is>
          <t>Coal transport (road)</t>
        </is>
      </c>
      <c r="F177" t="inlineStr">
        <is>
          <t>Damodar Valley Corporation</t>
        </is>
      </c>
      <c r="G177" t="inlineStr">
        <is>
          <t>Jharkhand</t>
        </is>
      </c>
      <c r="H177" t="inlineStr">
        <is>
          <t>Bokaro</t>
        </is>
      </c>
      <c r="I177" t="inlineStr">
        <is>
          <t>2025-05-09</t>
        </is>
      </c>
      <c r="J177" t="inlineStr">
        <is>
          <t>Financial</t>
        </is>
      </c>
      <c r="K177" t="inlineStr">
        <is>
          <t>-</t>
        </is>
      </c>
      <c r="L177" t="inlineStr"/>
      <c r="M177" t="inlineStr">
        <is>
          <t>5 named / 18</t>
        </is>
      </c>
      <c r="O177" t="n">
        <v>344</v>
      </c>
      <c r="P177">
        <f>MAX(O177,Settings!$B$13)*Settings!$B$7</f>
        <v/>
      </c>
      <c r="Q177">
        <f>MAX(O177,Settings!$B$13)*Settings!$B$8</f>
        <v/>
      </c>
      <c r="R177" s="4">
        <f>MAX(P177*Settings!$B$5,IF(ISNUMBER(Settings!$B$12),Settings!$B$12,0))*(1+IF(Settings!$B$11="Y",0,Settings!$B$10/100))+N(Settings!$B$9)</f>
        <v/>
      </c>
      <c r="S177" s="4">
        <f>IF(Q177&gt;1000,"beyond table",IFERROR(LOOKUP(Q177,'FOIS 145A'!$A$2:$A$22,'FOIS 145A'!$C$2:$C$22),""))</f>
        <v/>
      </c>
      <c r="T177" s="4">
        <f>IF(ISNUMBER(S177),S177*(1+IF(Settings!$B$11="Y",0,Settings!$B$10/100))+2*N(Settings!$B$9),"")</f>
        <v/>
      </c>
      <c r="U177">
        <f>IF(ISNUMBER(T177),IF(T177&lt;R177,"Rail","Road"),"")</f>
        <v/>
      </c>
      <c r="V177" s="4">
        <f>IF(ISNUMBER(T177),ABS(R177-T177),"")</f>
        <v/>
      </c>
      <c r="W177">
        <f>IF(OR(ISNUMBER(SEARCH("siding",D177)),ISNUMBER(SEARCH("rcr",D177)),ISNUMBER(SEARCH("rail",D177)),ISNUMBER(SEARCH("wagon",D177))),"Yes - siding/rail in title","Check")</f>
        <v/>
      </c>
      <c r="X177">
        <f>Settings!$B$6</f>
        <v/>
      </c>
    </row>
    <row r="178">
      <c r="A178" t="inlineStr">
        <is>
          <t>C 300-500 km</t>
        </is>
      </c>
      <c r="B178" t="inlineStr">
        <is>
          <t>13163111</t>
        </is>
      </c>
      <c r="C178" t="inlineStr">
        <is>
          <t>GEM/2025/B/6065386</t>
        </is>
      </c>
      <c r="D178" t="inlineStr">
        <is>
          <t>handling &amp; transport servi</t>
        </is>
      </c>
      <c r="E178" t="inlineStr">
        <is>
          <t>Coal transport (road)</t>
        </is>
      </c>
      <c r="F178" t="inlineStr">
        <is>
          <t>Central Coalfields Limited</t>
        </is>
      </c>
      <c r="G178" t="inlineStr">
        <is>
          <t>Jharkhand</t>
        </is>
      </c>
      <c r="H178" t="inlineStr">
        <is>
          <t>Bokaro</t>
        </is>
      </c>
      <c r="I178" t="inlineStr">
        <is>
          <t>2025-04-01</t>
        </is>
      </c>
      <c r="J178" t="inlineStr">
        <is>
          <t>AOC</t>
        </is>
      </c>
      <c r="K178" t="inlineStr">
        <is>
          <t>Variant Commercial Private Limited</t>
        </is>
      </c>
      <c r="L178" t="inlineStr"/>
      <c r="M178" t="inlineStr">
        <is>
          <t>3 named / 3</t>
        </is>
      </c>
      <c r="N178" t="n">
        <v>0.16</v>
      </c>
      <c r="O178" t="n">
        <v>344</v>
      </c>
      <c r="P178">
        <f>MAX(O178,Settings!$B$13)*Settings!$B$7</f>
        <v/>
      </c>
      <c r="Q178">
        <f>MAX(O178,Settings!$B$13)*Settings!$B$8</f>
        <v/>
      </c>
      <c r="R178" s="4">
        <f>MAX(P178*Settings!$B$5,IF(ISNUMBER(Settings!$B$12),Settings!$B$12,0))*(1+IF(Settings!$B$11="Y",0,Settings!$B$10/100))+N(Settings!$B$9)</f>
        <v/>
      </c>
      <c r="S178" s="4">
        <f>IF(Q178&gt;1000,"beyond table",IFERROR(LOOKUP(Q178,'FOIS 145A'!$A$2:$A$22,'FOIS 145A'!$C$2:$C$22),""))</f>
        <v/>
      </c>
      <c r="T178" s="4">
        <f>IF(ISNUMBER(S178),S178*(1+IF(Settings!$B$11="Y",0,Settings!$B$10/100))+2*N(Settings!$B$9),"")</f>
        <v/>
      </c>
      <c r="U178">
        <f>IF(ISNUMBER(T178),IF(T178&lt;R178,"Rail","Road"),"")</f>
        <v/>
      </c>
      <c r="V178" s="4">
        <f>IF(ISNUMBER(T178),ABS(R178-T178),"")</f>
        <v/>
      </c>
      <c r="W178">
        <f>IF(OR(ISNUMBER(SEARCH("siding",D178)),ISNUMBER(SEARCH("rcr",D178)),ISNUMBER(SEARCH("rail",D178)),ISNUMBER(SEARCH("wagon",D178))),"Yes - siding/rail in title","Check")</f>
        <v/>
      </c>
      <c r="X178">
        <f>Settings!$B$6</f>
        <v/>
      </c>
    </row>
    <row r="179">
      <c r="A179" t="inlineStr">
        <is>
          <t>C 300-500 km</t>
        </is>
      </c>
      <c r="B179" t="inlineStr">
        <is>
          <t>15739636</t>
        </is>
      </c>
      <c r="C179" t="inlineStr">
        <is>
          <t>2025_DVC_241238_1</t>
        </is>
      </c>
      <c r="D179" t="inlineStr">
        <is>
          <t>running contract for engagement of 01 (one) no. chain mounted hydraulic excavator of (ex-200/210 or equivalent) capacity for handling of ash</t>
        </is>
      </c>
      <c r="E179" t="inlineStr">
        <is>
          <t>Loading / handling / crushing</t>
        </is>
      </c>
      <c r="F179" t="inlineStr">
        <is>
          <t>Damodar Valley Corporation</t>
        </is>
      </c>
      <c r="G179" t="inlineStr">
        <is>
          <t>Jharkhand</t>
        </is>
      </c>
      <c r="H179" t="inlineStr">
        <is>
          <t>Bokaro</t>
        </is>
      </c>
      <c r="I179" t="inlineStr">
        <is>
          <t>2025-08-26</t>
        </is>
      </c>
      <c r="J179" t="inlineStr">
        <is>
          <t>Technical</t>
        </is>
      </c>
      <c r="K179" t="inlineStr">
        <is>
          <t>-</t>
        </is>
      </c>
      <c r="L179" t="inlineStr">
        <is>
          <t>Nkas Services</t>
        </is>
      </c>
      <c r="M179" t="inlineStr">
        <is>
          <t>4 named / 4</t>
        </is>
      </c>
      <c r="O179" t="n">
        <v>344</v>
      </c>
      <c r="P179">
        <f>MAX(O179,Settings!$B$13)*Settings!$B$7</f>
        <v/>
      </c>
      <c r="Q179">
        <f>MAX(O179,Settings!$B$13)*Settings!$B$8</f>
        <v/>
      </c>
      <c r="R179" s="4">
        <f>MAX(P179*Settings!$B$5,IF(ISNUMBER(Settings!$B$12),Settings!$B$12,0))*(1+IF(Settings!$B$11="Y",0,Settings!$B$10/100))+N(Settings!$B$9)</f>
        <v/>
      </c>
      <c r="S179" s="4">
        <f>IF(Q179&gt;1000,"beyond table",IFERROR(LOOKUP(Q179,'FOIS 145A'!$A$2:$A$22,'FOIS 145A'!$C$2:$C$22),""))</f>
        <v/>
      </c>
      <c r="T179" s="4">
        <f>IF(ISNUMBER(S179),S179*(1+IF(Settings!$B$11="Y",0,Settings!$B$10/100))+2*N(Settings!$B$9),"")</f>
        <v/>
      </c>
      <c r="U179">
        <f>IF(ISNUMBER(T179),IF(T179&lt;R179,"Rail","Road"),"")</f>
        <v/>
      </c>
      <c r="V179" s="4">
        <f>IF(ISNUMBER(T179),ABS(R179-T179),"")</f>
        <v/>
      </c>
      <c r="W179">
        <f>IF(OR(ISNUMBER(SEARCH("siding",D179)),ISNUMBER(SEARCH("rcr",D179)),ISNUMBER(SEARCH("rail",D179)),ISNUMBER(SEARCH("wagon",D179))),"Yes - siding/rail in title","Check")</f>
        <v/>
      </c>
      <c r="X179">
        <f>Settings!$B$6</f>
        <v/>
      </c>
    </row>
    <row r="180">
      <c r="A180" t="inlineStr">
        <is>
          <t>C 300-500 km</t>
        </is>
      </c>
      <c r="B180" t="inlineStr">
        <is>
          <t>17939820</t>
        </is>
      </c>
      <c r="C180" t="inlineStr">
        <is>
          <t>GEM/2026/B/7718705</t>
        </is>
      </c>
      <c r="D180" t="inlineStr">
        <is>
          <t>handling service, transport service, handling &amp; transport service, ob removal, coal extraction, hiring of hemm for ob and extraction of coal</t>
        </is>
      </c>
      <c r="E180" t="inlineStr">
        <is>
          <t>Mining services (OB / extraction)</t>
        </is>
      </c>
      <c r="F180" t="inlineStr">
        <is>
          <t>Central Coalfields Limited</t>
        </is>
      </c>
      <c r="G180" t="inlineStr">
        <is>
          <t>Jharkhand</t>
        </is>
      </c>
      <c r="H180" t="inlineStr">
        <is>
          <t>Bokaro</t>
        </is>
      </c>
      <c r="I180" t="inlineStr">
        <is>
          <t>2026-07-13</t>
        </is>
      </c>
      <c r="J180" t="inlineStr">
        <is>
          <t>Financial</t>
        </is>
      </c>
      <c r="K180" t="inlineStr">
        <is>
          <t>-</t>
        </is>
      </c>
      <c r="L180" t="inlineStr"/>
      <c r="M180" t="inlineStr">
        <is>
          <t>5 named / 14</t>
        </is>
      </c>
      <c r="O180" t="n">
        <v>344</v>
      </c>
      <c r="P180">
        <f>MAX(O180,Settings!$B$13)*Settings!$B$7</f>
        <v/>
      </c>
      <c r="Q180">
        <f>MAX(O180,Settings!$B$13)*Settings!$B$8</f>
        <v/>
      </c>
      <c r="R180" s="4">
        <f>MAX(P180*Settings!$B$5,IF(ISNUMBER(Settings!$B$12),Settings!$B$12,0))*(1+IF(Settings!$B$11="Y",0,Settings!$B$10/100))+N(Settings!$B$9)</f>
        <v/>
      </c>
      <c r="S180" s="4">
        <f>IF(Q180&gt;1000,"beyond table",IFERROR(LOOKUP(Q180,'FOIS 145A'!$A$2:$A$22,'FOIS 145A'!$C$2:$C$22),""))</f>
        <v/>
      </c>
      <c r="T180" s="4">
        <f>IF(ISNUMBER(S180),S180*(1+IF(Settings!$B$11="Y",0,Settings!$B$10/100))+2*N(Settings!$B$9),"")</f>
        <v/>
      </c>
      <c r="U180">
        <f>IF(ISNUMBER(T180),IF(T180&lt;R180,"Rail","Road"),"")</f>
        <v/>
      </c>
      <c r="V180" s="4">
        <f>IF(ISNUMBER(T180),ABS(R180-T180),"")</f>
        <v/>
      </c>
      <c r="W180">
        <f>IF(OR(ISNUMBER(SEARCH("siding",D180)),ISNUMBER(SEARCH("rcr",D180)),ISNUMBER(SEARCH("rail",D180)),ISNUMBER(SEARCH("wagon",D180))),"Yes - siding/rail in title","Check")</f>
        <v/>
      </c>
      <c r="X180">
        <f>Settings!$B$6</f>
        <v/>
      </c>
    </row>
    <row r="181">
      <c r="A181" t="inlineStr">
        <is>
          <t>C 300-500 km</t>
        </is>
      </c>
      <c r="B181" t="inlineStr">
        <is>
          <t>16027851</t>
        </is>
      </c>
      <c r="C181" t="inlineStr">
        <is>
          <t>GEM/2025/B/6837036</t>
        </is>
      </c>
      <c r="D181" t="inlineStr">
        <is>
          <t>handling &amp; transport service, ob removal, coal extraction, hiring of hemm for removal of hard ob &amp; re-handling ob and extraction, loading an</t>
        </is>
      </c>
      <c r="E181" t="inlineStr">
        <is>
          <t>Mining services (OB / extraction)</t>
        </is>
      </c>
      <c r="F181" t="inlineStr">
        <is>
          <t>Central Coalfields Limited</t>
        </is>
      </c>
      <c r="G181" t="inlineStr">
        <is>
          <t>Jharkhand</t>
        </is>
      </c>
      <c r="H181" t="inlineStr">
        <is>
          <t>Bokaro</t>
        </is>
      </c>
      <c r="I181" t="inlineStr">
        <is>
          <t>2025-11-13</t>
        </is>
      </c>
      <c r="J181" t="inlineStr">
        <is>
          <t>AOC</t>
        </is>
      </c>
      <c r="K181" t="inlineStr">
        <is>
          <t>Bkt - Pmiw Jv</t>
        </is>
      </c>
      <c r="L181" t="inlineStr">
        <is>
          <t>United Coal Carriers</t>
        </is>
      </c>
      <c r="M181" t="inlineStr">
        <is>
          <t>5 named / 6</t>
        </is>
      </c>
      <c r="N181" t="n">
        <v>86.93000000000001</v>
      </c>
      <c r="O181" t="n">
        <v>344</v>
      </c>
      <c r="P181">
        <f>MAX(O181,Settings!$B$13)*Settings!$B$7</f>
        <v/>
      </c>
      <c r="Q181">
        <f>MAX(O181,Settings!$B$13)*Settings!$B$8</f>
        <v/>
      </c>
      <c r="R181" s="4">
        <f>MAX(P181*Settings!$B$5,IF(ISNUMBER(Settings!$B$12),Settings!$B$12,0))*(1+IF(Settings!$B$11="Y",0,Settings!$B$10/100))+N(Settings!$B$9)</f>
        <v/>
      </c>
      <c r="S181" s="4">
        <f>IF(Q181&gt;1000,"beyond table",IFERROR(LOOKUP(Q181,'FOIS 145A'!$A$2:$A$22,'FOIS 145A'!$C$2:$C$22),""))</f>
        <v/>
      </c>
      <c r="T181" s="4">
        <f>IF(ISNUMBER(S181),S181*(1+IF(Settings!$B$11="Y",0,Settings!$B$10/100))+2*N(Settings!$B$9),"")</f>
        <v/>
      </c>
      <c r="U181">
        <f>IF(ISNUMBER(T181),IF(T181&lt;R181,"Rail","Road"),"")</f>
        <v/>
      </c>
      <c r="V181" s="4">
        <f>IF(ISNUMBER(T181),ABS(R181-T181),"")</f>
        <v/>
      </c>
      <c r="W181">
        <f>IF(OR(ISNUMBER(SEARCH("siding",D181)),ISNUMBER(SEARCH("rcr",D181)),ISNUMBER(SEARCH("rail",D181)),ISNUMBER(SEARCH("wagon",D181))),"Yes - siding/rail in title","Check")</f>
        <v/>
      </c>
      <c r="X181">
        <f>Settings!$B$6</f>
        <v/>
      </c>
    </row>
    <row r="182">
      <c r="A182" t="inlineStr">
        <is>
          <t>C 300-500 km</t>
        </is>
      </c>
      <c r="B182" t="inlineStr">
        <is>
          <t>14921318</t>
        </is>
      </c>
      <c r="C182" t="inlineStr">
        <is>
          <t>GEM/2025/B/6459196</t>
        </is>
      </c>
      <c r="D182" t="inlineStr">
        <is>
          <t>coal extraction, handling</t>
        </is>
      </c>
      <c r="E182" t="inlineStr">
        <is>
          <t>Mining services (OB / extraction)</t>
        </is>
      </c>
      <c r="F182" t="inlineStr">
        <is>
          <t>Central Coalfields Limited</t>
        </is>
      </c>
      <c r="G182" t="inlineStr">
        <is>
          <t>Jharkhand</t>
        </is>
      </c>
      <c r="H182" t="inlineStr">
        <is>
          <t>Bokaro</t>
        </is>
      </c>
      <c r="I182" t="inlineStr">
        <is>
          <t>2025-07-31</t>
        </is>
      </c>
      <c r="J182" t="inlineStr">
        <is>
          <t>AOC</t>
        </is>
      </c>
      <c r="K182" t="inlineStr">
        <is>
          <t>Dadan Singh Llp</t>
        </is>
      </c>
      <c r="L182" t="inlineStr"/>
      <c r="M182" t="inlineStr">
        <is>
          <t>5 named / 9</t>
        </is>
      </c>
      <c r="N182" t="n">
        <v>6.74</v>
      </c>
      <c r="O182" t="n">
        <v>344</v>
      </c>
      <c r="P182">
        <f>MAX(O182,Settings!$B$13)*Settings!$B$7</f>
        <v/>
      </c>
      <c r="Q182">
        <f>MAX(O182,Settings!$B$13)*Settings!$B$8</f>
        <v/>
      </c>
      <c r="R182" s="4">
        <f>MAX(P182*Settings!$B$5,IF(ISNUMBER(Settings!$B$12),Settings!$B$12,0))*(1+IF(Settings!$B$11="Y",0,Settings!$B$10/100))+N(Settings!$B$9)</f>
        <v/>
      </c>
      <c r="S182" s="4">
        <f>IF(Q182&gt;1000,"beyond table",IFERROR(LOOKUP(Q182,'FOIS 145A'!$A$2:$A$22,'FOIS 145A'!$C$2:$C$22),""))</f>
        <v/>
      </c>
      <c r="T182" s="4">
        <f>IF(ISNUMBER(S182),S182*(1+IF(Settings!$B$11="Y",0,Settings!$B$10/100))+2*N(Settings!$B$9),"")</f>
        <v/>
      </c>
      <c r="U182">
        <f>IF(ISNUMBER(T182),IF(T182&lt;R182,"Rail","Road"),"")</f>
        <v/>
      </c>
      <c r="V182" s="4">
        <f>IF(ISNUMBER(T182),ABS(R182-T182),"")</f>
        <v/>
      </c>
      <c r="W182">
        <f>IF(OR(ISNUMBER(SEARCH("siding",D182)),ISNUMBER(SEARCH("rcr",D182)),ISNUMBER(SEARCH("rail",D182)),ISNUMBER(SEARCH("wagon",D182))),"Yes - siding/rail in title","Check")</f>
        <v/>
      </c>
      <c r="X182">
        <f>Settings!$B$6</f>
        <v/>
      </c>
    </row>
    <row r="183">
      <c r="A183" t="inlineStr">
        <is>
          <t>C 300-500 km</t>
        </is>
      </c>
      <c r="B183" t="inlineStr">
        <is>
          <t>15918668</t>
        </is>
      </c>
      <c r="C183" t="inlineStr">
        <is>
          <t>GEM/2025/B/6375299</t>
        </is>
      </c>
      <c r="D183" t="inlineStr">
        <is>
          <t>supply of - agro residue based biomass pellets (v2) (q3) | quantity - 29200</t>
        </is>
      </c>
      <c r="E183" t="inlineStr">
        <is>
          <t>Other (biomass / coke)</t>
        </is>
      </c>
      <c r="F183" t="inlineStr">
        <is>
          <t>Damodar Valley Corporation</t>
        </is>
      </c>
      <c r="G183" t="inlineStr">
        <is>
          <t>Jharkhand</t>
        </is>
      </c>
      <c r="H183" t="inlineStr">
        <is>
          <t>Bokaro</t>
        </is>
      </c>
      <c r="I183" t="inlineStr">
        <is>
          <t>2025-08-16</t>
        </is>
      </c>
      <c r="J183" t="inlineStr">
        <is>
          <t>AOC</t>
        </is>
      </c>
      <c r="K183" t="inlineStr">
        <is>
          <t>Shiv Ganga Enterprises</t>
        </is>
      </c>
      <c r="L183" t="inlineStr"/>
      <c r="M183" t="inlineStr">
        <is>
          <t>5 named / 24</t>
        </is>
      </c>
      <c r="N183" t="n">
        <v>28.69</v>
      </c>
      <c r="O183" t="n">
        <v>344</v>
      </c>
      <c r="P183">
        <f>MAX(O183,Settings!$B$13)*Settings!$B$7</f>
        <v/>
      </c>
      <c r="Q183">
        <f>MAX(O183,Settings!$B$13)*Settings!$B$8</f>
        <v/>
      </c>
      <c r="R183" s="4">
        <f>MAX(P183*Settings!$B$5,IF(ISNUMBER(Settings!$B$12),Settings!$B$12,0))*(1+IF(Settings!$B$11="Y",0,Settings!$B$10/100))+N(Settings!$B$9)</f>
        <v/>
      </c>
      <c r="S183" s="4">
        <f>IF(Q183&gt;1000,"beyond table",IFERROR(LOOKUP(Q183,'FOIS 145A'!$A$2:$A$22,'FOIS 145A'!$C$2:$C$22),""))</f>
        <v/>
      </c>
      <c r="T183" s="4">
        <f>IF(ISNUMBER(S183),S183*(1+IF(Settings!$B$11="Y",0,Settings!$B$10/100))+2*N(Settings!$B$9),"")</f>
        <v/>
      </c>
      <c r="U183">
        <f>IF(ISNUMBER(T183),IF(T183&lt;R183,"Rail","Road"),"")</f>
        <v/>
      </c>
      <c r="V183" s="4">
        <f>IF(ISNUMBER(T183),ABS(R183-T183),"")</f>
        <v/>
      </c>
      <c r="W183">
        <f>IF(OR(ISNUMBER(SEARCH("siding",D183)),ISNUMBER(SEARCH("rcr",D183)),ISNUMBER(SEARCH("rail",D183)),ISNUMBER(SEARCH("wagon",D183))),"Yes - siding/rail in title","Check")</f>
        <v/>
      </c>
      <c r="X183">
        <f>Settings!$B$6</f>
        <v/>
      </c>
    </row>
    <row r="184">
      <c r="A184" t="inlineStr">
        <is>
          <t>C 300-500 km</t>
        </is>
      </c>
      <c r="B184" t="inlineStr">
        <is>
          <t>17750799</t>
        </is>
      </c>
      <c r="C184" t="inlineStr">
        <is>
          <t>GEM/2026/B/7536884</t>
        </is>
      </c>
      <c r="D184" t="inlineStr">
        <is>
          <t>transportation of coal from coal mines in talcher area to nalco, damanjodi (nlod) alumina plant through road cum rail (rcr) mode</t>
        </is>
      </c>
      <c r="E184" t="inlineStr">
        <is>
          <t>Coal transport (RCR / siding)</t>
        </is>
      </c>
      <c r="F184" t="inlineStr">
        <is>
          <t>National Aluminium Company Limited</t>
        </is>
      </c>
      <c r="G184" t="inlineStr">
        <is>
          <t>Orissa</t>
        </is>
      </c>
      <c r="H184" t="inlineStr">
        <is>
          <t>Koraput</t>
        </is>
      </c>
      <c r="I184" t="inlineStr">
        <is>
          <t>2026-06-11</t>
        </is>
      </c>
      <c r="J184" t="inlineStr">
        <is>
          <t>AOC</t>
        </is>
      </c>
      <c r="K184" t="inlineStr">
        <is>
          <t>Godavari Commodities Limited</t>
        </is>
      </c>
      <c r="L184" t="inlineStr">
        <is>
          <t>Godavari Commodities, Nkas Services</t>
        </is>
      </c>
      <c r="M184" t="inlineStr">
        <is>
          <t>5 named / 10</t>
        </is>
      </c>
      <c r="N184" t="n">
        <v>6.67</v>
      </c>
      <c r="O184" t="n">
        <v>351</v>
      </c>
      <c r="P184">
        <f>MAX(O184,Settings!$B$13)*Settings!$B$7</f>
        <v/>
      </c>
      <c r="Q184">
        <f>MAX(O184,Settings!$B$13)*Settings!$B$8</f>
        <v/>
      </c>
      <c r="R184" s="4">
        <f>MAX(P184*Settings!$B$5,IF(ISNUMBER(Settings!$B$12),Settings!$B$12,0))*(1+IF(Settings!$B$11="Y",0,Settings!$B$10/100))+N(Settings!$B$9)</f>
        <v/>
      </c>
      <c r="S184" s="4">
        <f>IF(Q184&gt;1000,"beyond table",IFERROR(LOOKUP(Q184,'FOIS 145A'!$A$2:$A$22,'FOIS 145A'!$C$2:$C$22),""))</f>
        <v/>
      </c>
      <c r="T184" s="4">
        <f>IF(ISNUMBER(S184),S184*(1+IF(Settings!$B$11="Y",0,Settings!$B$10/100))+2*N(Settings!$B$9),"")</f>
        <v/>
      </c>
      <c r="U184">
        <f>IF(ISNUMBER(T184),IF(T184&lt;R184,"Rail","Road"),"")</f>
        <v/>
      </c>
      <c r="V184" s="4">
        <f>IF(ISNUMBER(T184),ABS(R184-T184),"")</f>
        <v/>
      </c>
      <c r="W184">
        <f>IF(OR(ISNUMBER(SEARCH("siding",D184)),ISNUMBER(SEARCH("rcr",D184)),ISNUMBER(SEARCH("rail",D184)),ISNUMBER(SEARCH("wagon",D184))),"Yes - siding/rail in title","Check")</f>
        <v/>
      </c>
      <c r="X184">
        <f>Settings!$B$6</f>
        <v/>
      </c>
    </row>
    <row r="185">
      <c r="A185" t="inlineStr">
        <is>
          <t>C 300-500 km</t>
        </is>
      </c>
      <c r="B185" t="inlineStr">
        <is>
          <t>17000112</t>
        </is>
      </c>
      <c r="C185" t="inlineStr">
        <is>
          <t>GEM/2026/B/7393495</t>
        </is>
      </c>
      <c r="D185" t="inlineStr">
        <is>
          <t>2 lmt coal transportation from coal mines to alumina refinery plant, nalco, damanjodi, through road cum rail (rcr) mode</t>
        </is>
      </c>
      <c r="E185" t="inlineStr">
        <is>
          <t>Coal transport (RCR / siding)</t>
        </is>
      </c>
      <c r="F185" t="inlineStr">
        <is>
          <t>National Aluminium Company Limited</t>
        </is>
      </c>
      <c r="G185" t="inlineStr">
        <is>
          <t>Orissa</t>
        </is>
      </c>
      <c r="H185" t="inlineStr">
        <is>
          <t>Koraput</t>
        </is>
      </c>
      <c r="I185" t="inlineStr">
        <is>
          <t>2026-04-10</t>
        </is>
      </c>
      <c r="J185" t="inlineStr">
        <is>
          <t>AOC</t>
        </is>
      </c>
      <c r="K185" t="inlineStr">
        <is>
          <t>Pragati Indian Road Lines</t>
        </is>
      </c>
      <c r="L185" t="inlineStr">
        <is>
          <t>Anoop Road Carriers, Sendoz Impex</t>
        </is>
      </c>
      <c r="M185" t="inlineStr">
        <is>
          <t>5 named / 6</t>
        </is>
      </c>
      <c r="N185" t="n">
        <v>2.44</v>
      </c>
      <c r="O185" t="n">
        <v>351</v>
      </c>
      <c r="P185">
        <f>MAX(O185,Settings!$B$13)*Settings!$B$7</f>
        <v/>
      </c>
      <c r="Q185">
        <f>MAX(O185,Settings!$B$13)*Settings!$B$8</f>
        <v/>
      </c>
      <c r="R185" s="4">
        <f>MAX(P185*Settings!$B$5,IF(ISNUMBER(Settings!$B$12),Settings!$B$12,0))*(1+IF(Settings!$B$11="Y",0,Settings!$B$10/100))+N(Settings!$B$9)</f>
        <v/>
      </c>
      <c r="S185" s="4">
        <f>IF(Q185&gt;1000,"beyond table",IFERROR(LOOKUP(Q185,'FOIS 145A'!$A$2:$A$22,'FOIS 145A'!$C$2:$C$22),""))</f>
        <v/>
      </c>
      <c r="T185" s="4">
        <f>IF(ISNUMBER(S185),S185*(1+IF(Settings!$B$11="Y",0,Settings!$B$10/100))+2*N(Settings!$B$9),"")</f>
        <v/>
      </c>
      <c r="U185">
        <f>IF(ISNUMBER(T185),IF(T185&lt;R185,"Rail","Road"),"")</f>
        <v/>
      </c>
      <c r="V185" s="4">
        <f>IF(ISNUMBER(T185),ABS(R185-T185),"")</f>
        <v/>
      </c>
      <c r="W185">
        <f>IF(OR(ISNUMBER(SEARCH("siding",D185)),ISNUMBER(SEARCH("rcr",D185)),ISNUMBER(SEARCH("rail",D185)),ISNUMBER(SEARCH("wagon",D185))),"Yes - siding/rail in title","Check")</f>
        <v/>
      </c>
      <c r="X185">
        <f>Settings!$B$6</f>
        <v/>
      </c>
    </row>
    <row r="186">
      <c r="A186" t="inlineStr">
        <is>
          <t>C 300-500 km</t>
        </is>
      </c>
      <c r="B186" t="inlineStr">
        <is>
          <t>18192043</t>
        </is>
      </c>
      <c r="C186" t="inlineStr">
        <is>
          <t>2026_NTPC_111830_1</t>
        </is>
      </c>
      <c r="D186" t="inlineStr">
        <is>
          <t>transportation of coal, loading at mine end(jayant and other siding) and</t>
        </is>
      </c>
      <c r="E186" t="inlineStr">
        <is>
          <t>Coal transport (RCR / siding)</t>
        </is>
      </c>
      <c r="F186" t="inlineStr">
        <is>
          <t>National Thermal Power Corporation Limited</t>
        </is>
      </c>
      <c r="G186" t="inlineStr">
        <is>
          <t>Uttar Pradesh</t>
        </is>
      </c>
      <c r="H186" t="inlineStr">
        <is>
          <t>Mirzapur</t>
        </is>
      </c>
      <c r="I186" t="inlineStr">
        <is>
          <t>2026-09-14</t>
        </is>
      </c>
      <c r="J186" t="inlineStr">
        <is>
          <t>Financial</t>
        </is>
      </c>
      <c r="K186" t="inlineStr">
        <is>
          <t>-</t>
        </is>
      </c>
      <c r="L186" t="inlineStr"/>
      <c r="M186" t="inlineStr">
        <is>
          <t>1 named / 1</t>
        </is>
      </c>
      <c r="O186" t="n">
        <v>371</v>
      </c>
      <c r="P186">
        <f>MAX(O186,Settings!$B$13)*Settings!$B$7</f>
        <v/>
      </c>
      <c r="Q186">
        <f>MAX(O186,Settings!$B$13)*Settings!$B$8</f>
        <v/>
      </c>
      <c r="R186" s="4">
        <f>MAX(P186*Settings!$B$5,IF(ISNUMBER(Settings!$B$12),Settings!$B$12,0))*(1+IF(Settings!$B$11="Y",0,Settings!$B$10/100))+N(Settings!$B$9)</f>
        <v/>
      </c>
      <c r="S186" s="4">
        <f>IF(Q186&gt;1000,"beyond table",IFERROR(LOOKUP(Q186,'FOIS 145A'!$A$2:$A$22,'FOIS 145A'!$C$2:$C$22),""))</f>
        <v/>
      </c>
      <c r="T186" s="4">
        <f>IF(ISNUMBER(S186),S186*(1+IF(Settings!$B$11="Y",0,Settings!$B$10/100))+2*N(Settings!$B$9),"")</f>
        <v/>
      </c>
      <c r="U186">
        <f>IF(ISNUMBER(T186),IF(T186&lt;R186,"Rail","Road"),"")</f>
        <v/>
      </c>
      <c r="V186" s="4">
        <f>IF(ISNUMBER(T186),ABS(R186-T186),"")</f>
        <v/>
      </c>
      <c r="W186">
        <f>IF(OR(ISNUMBER(SEARCH("siding",D186)),ISNUMBER(SEARCH("rcr",D186)),ISNUMBER(SEARCH("rail",D186)),ISNUMBER(SEARCH("wagon",D186))),"Yes - siding/rail in title","Check")</f>
        <v/>
      </c>
      <c r="X186">
        <f>Settings!$B$6</f>
        <v/>
      </c>
    </row>
    <row r="187">
      <c r="A187" t="inlineStr">
        <is>
          <t>C 300-500 km</t>
        </is>
      </c>
      <c r="B187" t="inlineStr">
        <is>
          <t>13423669</t>
        </is>
      </c>
      <c r="C187" t="inlineStr">
        <is>
          <t>GEM/2025/B/6105497</t>
        </is>
      </c>
      <c r="D187" t="inlineStr">
        <is>
          <t>handling &amp; transport servi</t>
        </is>
      </c>
      <c r="E187" t="inlineStr">
        <is>
          <t>Coal transport (road)</t>
        </is>
      </c>
      <c r="F187" t="inlineStr">
        <is>
          <t>Bharat Coking Coal Limited</t>
        </is>
      </c>
      <c r="G187" t="inlineStr">
        <is>
          <t>Jharkhand</t>
        </is>
      </c>
      <c r="H187" t="inlineStr">
        <is>
          <t>Dhanbad</t>
        </is>
      </c>
      <c r="I187" t="inlineStr">
        <is>
          <t>2025-04-28</t>
        </is>
      </c>
      <c r="J187" t="inlineStr">
        <is>
          <t>AOC</t>
        </is>
      </c>
      <c r="K187" t="inlineStr">
        <is>
          <t>Satyam Infra</t>
        </is>
      </c>
      <c r="L187" t="inlineStr">
        <is>
          <t>G K Associates, Krishna Infrastructure</t>
        </is>
      </c>
      <c r="M187" t="inlineStr">
        <is>
          <t>5 named / 9</t>
        </is>
      </c>
      <c r="N187" t="n">
        <v>91.05</v>
      </c>
      <c r="O187" t="n">
        <v>376</v>
      </c>
      <c r="P187">
        <f>MAX(O187,Settings!$B$13)*Settings!$B$7</f>
        <v/>
      </c>
      <c r="Q187">
        <f>MAX(O187,Settings!$B$13)*Settings!$B$8</f>
        <v/>
      </c>
      <c r="R187" s="4">
        <f>MAX(P187*Settings!$B$5,IF(ISNUMBER(Settings!$B$12),Settings!$B$12,0))*(1+IF(Settings!$B$11="Y",0,Settings!$B$10/100))+N(Settings!$B$9)</f>
        <v/>
      </c>
      <c r="S187" s="4">
        <f>IF(Q187&gt;1000,"beyond table",IFERROR(LOOKUP(Q187,'FOIS 145A'!$A$2:$A$22,'FOIS 145A'!$C$2:$C$22),""))</f>
        <v/>
      </c>
      <c r="T187" s="4">
        <f>IF(ISNUMBER(S187),S187*(1+IF(Settings!$B$11="Y",0,Settings!$B$10/100))+2*N(Settings!$B$9),"")</f>
        <v/>
      </c>
      <c r="U187">
        <f>IF(ISNUMBER(T187),IF(T187&lt;R187,"Rail","Road"),"")</f>
        <v/>
      </c>
      <c r="V187" s="4">
        <f>IF(ISNUMBER(T187),ABS(R187-T187),"")</f>
        <v/>
      </c>
      <c r="W187">
        <f>IF(OR(ISNUMBER(SEARCH("siding",D187)),ISNUMBER(SEARCH("rcr",D187)),ISNUMBER(SEARCH("rail",D187)),ISNUMBER(SEARCH("wagon",D187))),"Yes - siding/rail in title","Check")</f>
        <v/>
      </c>
      <c r="X187">
        <f>Settings!$B$6</f>
        <v/>
      </c>
    </row>
    <row r="188">
      <c r="A188" t="inlineStr">
        <is>
          <t>C 300-500 km</t>
        </is>
      </c>
      <c r="B188" t="inlineStr">
        <is>
          <t>13423974</t>
        </is>
      </c>
      <c r="C188" t="inlineStr">
        <is>
          <t>GEM/2025/B/6131940</t>
        </is>
      </c>
      <c r="D188" t="inlineStr">
        <is>
          <t>handling &amp; transport servi</t>
        </is>
      </c>
      <c r="E188" t="inlineStr">
        <is>
          <t>Coal transport (road)</t>
        </is>
      </c>
      <c r="F188" t="inlineStr">
        <is>
          <t>Bharat Coking Coal Limited</t>
        </is>
      </c>
      <c r="G188" t="inlineStr">
        <is>
          <t>Jharkhand</t>
        </is>
      </c>
      <c r="H188" t="inlineStr">
        <is>
          <t>Dhanbad</t>
        </is>
      </c>
      <c r="I188" t="inlineStr">
        <is>
          <t>2025-04-28</t>
        </is>
      </c>
      <c r="J188" t="inlineStr">
        <is>
          <t>AOC</t>
        </is>
      </c>
      <c r="K188" t="inlineStr">
        <is>
          <t>Pragati Indian Road Lines</t>
        </is>
      </c>
      <c r="L188" t="inlineStr"/>
      <c r="M188" t="inlineStr">
        <is>
          <t>5 named / 11</t>
        </is>
      </c>
      <c r="N188" t="n">
        <v>96.52</v>
      </c>
      <c r="O188" t="n">
        <v>376</v>
      </c>
      <c r="P188">
        <f>MAX(O188,Settings!$B$13)*Settings!$B$7</f>
        <v/>
      </c>
      <c r="Q188">
        <f>MAX(O188,Settings!$B$13)*Settings!$B$8</f>
        <v/>
      </c>
      <c r="R188" s="4">
        <f>MAX(P188*Settings!$B$5,IF(ISNUMBER(Settings!$B$12),Settings!$B$12,0))*(1+IF(Settings!$B$11="Y",0,Settings!$B$10/100))+N(Settings!$B$9)</f>
        <v/>
      </c>
      <c r="S188" s="4">
        <f>IF(Q188&gt;1000,"beyond table",IFERROR(LOOKUP(Q188,'FOIS 145A'!$A$2:$A$22,'FOIS 145A'!$C$2:$C$22),""))</f>
        <v/>
      </c>
      <c r="T188" s="4">
        <f>IF(ISNUMBER(S188),S188*(1+IF(Settings!$B$11="Y",0,Settings!$B$10/100))+2*N(Settings!$B$9),"")</f>
        <v/>
      </c>
      <c r="U188">
        <f>IF(ISNUMBER(T188),IF(T188&lt;R188,"Rail","Road"),"")</f>
        <v/>
      </c>
      <c r="V188" s="4">
        <f>IF(ISNUMBER(T188),ABS(R188-T188),"")</f>
        <v/>
      </c>
      <c r="W188">
        <f>IF(OR(ISNUMBER(SEARCH("siding",D188)),ISNUMBER(SEARCH("rcr",D188)),ISNUMBER(SEARCH("rail",D188)),ISNUMBER(SEARCH("wagon",D188))),"Yes - siding/rail in title","Check")</f>
        <v/>
      </c>
      <c r="X188">
        <f>Settings!$B$6</f>
        <v/>
      </c>
    </row>
    <row r="189">
      <c r="A189" t="inlineStr">
        <is>
          <t>C 300-500 km</t>
        </is>
      </c>
      <c r="B189" t="inlineStr">
        <is>
          <t>12359346</t>
        </is>
      </c>
      <c r="C189" t="inlineStr">
        <is>
          <t>GEM/2024/B/5707396</t>
        </is>
      </c>
      <c r="D189" t="inlineStr">
        <is>
          <t>handling &amp; transport servi</t>
        </is>
      </c>
      <c r="E189" t="inlineStr">
        <is>
          <t>Coal transport (road)</t>
        </is>
      </c>
      <c r="F189" t="inlineStr">
        <is>
          <t>Bharat Coking Coal Limited</t>
        </is>
      </c>
      <c r="G189" t="inlineStr">
        <is>
          <t>Jharkhand</t>
        </is>
      </c>
      <c r="H189" t="inlineStr">
        <is>
          <t>Dhanbad</t>
        </is>
      </c>
      <c r="I189" t="inlineStr">
        <is>
          <t>2025-01-09</t>
        </is>
      </c>
      <c r="J189" t="inlineStr">
        <is>
          <t>AOC</t>
        </is>
      </c>
      <c r="K189" t="inlineStr">
        <is>
          <t>Tbepl- Nsipl Jv</t>
        </is>
      </c>
      <c r="L189" t="inlineStr">
        <is>
          <t>G K Associates, Krishna Infrastructure</t>
        </is>
      </c>
      <c r="M189" t="inlineStr">
        <is>
          <t>5 named / 15</t>
        </is>
      </c>
      <c r="N189" t="n">
        <v>849.25</v>
      </c>
      <c r="O189" t="n">
        <v>376</v>
      </c>
      <c r="P189">
        <f>MAX(O189,Settings!$B$13)*Settings!$B$7</f>
        <v/>
      </c>
      <c r="Q189">
        <f>MAX(O189,Settings!$B$13)*Settings!$B$8</f>
        <v/>
      </c>
      <c r="R189" s="4">
        <f>MAX(P189*Settings!$B$5,IF(ISNUMBER(Settings!$B$12),Settings!$B$12,0))*(1+IF(Settings!$B$11="Y",0,Settings!$B$10/100))+N(Settings!$B$9)</f>
        <v/>
      </c>
      <c r="S189" s="4">
        <f>IF(Q189&gt;1000,"beyond table",IFERROR(LOOKUP(Q189,'FOIS 145A'!$A$2:$A$22,'FOIS 145A'!$C$2:$C$22),""))</f>
        <v/>
      </c>
      <c r="T189" s="4">
        <f>IF(ISNUMBER(S189),S189*(1+IF(Settings!$B$11="Y",0,Settings!$B$10/100))+2*N(Settings!$B$9),"")</f>
        <v/>
      </c>
      <c r="U189">
        <f>IF(ISNUMBER(T189),IF(T189&lt;R189,"Rail","Road"),"")</f>
        <v/>
      </c>
      <c r="V189" s="4">
        <f>IF(ISNUMBER(T189),ABS(R189-T189),"")</f>
        <v/>
      </c>
      <c r="W189">
        <f>IF(OR(ISNUMBER(SEARCH("siding",D189)),ISNUMBER(SEARCH("rcr",D189)),ISNUMBER(SEARCH("rail",D189)),ISNUMBER(SEARCH("wagon",D189))),"Yes - siding/rail in title","Check")</f>
        <v/>
      </c>
      <c r="X189">
        <f>Settings!$B$6</f>
        <v/>
      </c>
    </row>
    <row r="190">
      <c r="A190" t="inlineStr">
        <is>
          <t>C 300-500 km</t>
        </is>
      </c>
      <c r="B190" t="inlineStr">
        <is>
          <t>16522259</t>
        </is>
      </c>
      <c r="C190" t="inlineStr">
        <is>
          <t>GEM/2025/B/7022582</t>
        </is>
      </c>
      <c r="D190" t="inlineStr">
        <is>
          <t>handling &amp; transport service, ob removal, coal extraction, handling service, transport service, hiring of hemm for removal of in-situ ob and</t>
        </is>
      </c>
      <c r="E190" t="inlineStr">
        <is>
          <t>Mining services (OB / extraction)</t>
        </is>
      </c>
      <c r="F190" t="inlineStr">
        <is>
          <t>Bharat Coking Coal Limited</t>
        </is>
      </c>
      <c r="G190" t="inlineStr">
        <is>
          <t>Jharkhand</t>
        </is>
      </c>
      <c r="H190" t="inlineStr">
        <is>
          <t>Dhanbad</t>
        </is>
      </c>
      <c r="I190" t="inlineStr">
        <is>
          <t>2026-01-09</t>
        </is>
      </c>
      <c r="J190" t="inlineStr">
        <is>
          <t>AOC</t>
        </is>
      </c>
      <c r="K190" t="inlineStr">
        <is>
          <t>Bla Infrastructure Private Limited</t>
        </is>
      </c>
      <c r="L190" t="inlineStr">
        <is>
          <t>United Coal Carriers</t>
        </is>
      </c>
      <c r="M190" t="inlineStr">
        <is>
          <t>5 named / 7</t>
        </is>
      </c>
      <c r="N190" t="n">
        <v>126.83</v>
      </c>
      <c r="O190" t="n">
        <v>376</v>
      </c>
      <c r="P190">
        <f>MAX(O190,Settings!$B$13)*Settings!$B$7</f>
        <v/>
      </c>
      <c r="Q190">
        <f>MAX(O190,Settings!$B$13)*Settings!$B$8</f>
        <v/>
      </c>
      <c r="R190" s="4">
        <f>MAX(P190*Settings!$B$5,IF(ISNUMBER(Settings!$B$12),Settings!$B$12,0))*(1+IF(Settings!$B$11="Y",0,Settings!$B$10/100))+N(Settings!$B$9)</f>
        <v/>
      </c>
      <c r="S190" s="4">
        <f>IF(Q190&gt;1000,"beyond table",IFERROR(LOOKUP(Q190,'FOIS 145A'!$A$2:$A$22,'FOIS 145A'!$C$2:$C$22),""))</f>
        <v/>
      </c>
      <c r="T190" s="4">
        <f>IF(ISNUMBER(S190),S190*(1+IF(Settings!$B$11="Y",0,Settings!$B$10/100))+2*N(Settings!$B$9),"")</f>
        <v/>
      </c>
      <c r="U190">
        <f>IF(ISNUMBER(T190),IF(T190&lt;R190,"Rail","Road"),"")</f>
        <v/>
      </c>
      <c r="V190" s="4">
        <f>IF(ISNUMBER(T190),ABS(R190-T190),"")</f>
        <v/>
      </c>
      <c r="W190">
        <f>IF(OR(ISNUMBER(SEARCH("siding",D190)),ISNUMBER(SEARCH("rcr",D190)),ISNUMBER(SEARCH("rail",D190)),ISNUMBER(SEARCH("wagon",D190))),"Yes - siding/rail in title","Check")</f>
        <v/>
      </c>
      <c r="X190">
        <f>Settings!$B$6</f>
        <v/>
      </c>
    </row>
    <row r="191">
      <c r="A191" t="inlineStr">
        <is>
          <t>C 300-500 km</t>
        </is>
      </c>
      <c r="B191" t="inlineStr">
        <is>
          <t>17029874</t>
        </is>
      </c>
      <c r="C191" t="inlineStr">
        <is>
          <t>GEM/2025/B/6785768</t>
        </is>
      </c>
      <c r="D191" t="inlineStr">
        <is>
          <t>handling &amp; transport service, hiring of hemm for ob removal, extraction and transportation of coal with fire-fighting along with crushing of</t>
        </is>
      </c>
      <c r="E191" t="inlineStr">
        <is>
          <t>Mining services (OB / extraction)</t>
        </is>
      </c>
      <c r="F191" t="inlineStr">
        <is>
          <t>Bharat Coking Coal Limited</t>
        </is>
      </c>
      <c r="G191" t="inlineStr">
        <is>
          <t>Jharkhand</t>
        </is>
      </c>
      <c r="H191" t="inlineStr">
        <is>
          <t>Dhanbad</t>
        </is>
      </c>
      <c r="I191" t="inlineStr">
        <is>
          <t>2025-11-14</t>
        </is>
      </c>
      <c r="J191" t="inlineStr">
        <is>
          <t>AOC</t>
        </is>
      </c>
      <c r="K191" t="inlineStr">
        <is>
          <t>Stg Associates</t>
        </is>
      </c>
      <c r="L191" t="inlineStr">
        <is>
          <t>G K Associates</t>
        </is>
      </c>
      <c r="M191" t="inlineStr">
        <is>
          <t>5 named / 19</t>
        </is>
      </c>
      <c r="N191" t="n">
        <v>596.41</v>
      </c>
      <c r="O191" t="n">
        <v>376</v>
      </c>
      <c r="P191">
        <f>MAX(O191,Settings!$B$13)*Settings!$B$7</f>
        <v/>
      </c>
      <c r="Q191">
        <f>MAX(O191,Settings!$B$13)*Settings!$B$8</f>
        <v/>
      </c>
      <c r="R191" s="4">
        <f>MAX(P191*Settings!$B$5,IF(ISNUMBER(Settings!$B$12),Settings!$B$12,0))*(1+IF(Settings!$B$11="Y",0,Settings!$B$10/100))+N(Settings!$B$9)</f>
        <v/>
      </c>
      <c r="S191" s="4">
        <f>IF(Q191&gt;1000,"beyond table",IFERROR(LOOKUP(Q191,'FOIS 145A'!$A$2:$A$22,'FOIS 145A'!$C$2:$C$22),""))</f>
        <v/>
      </c>
      <c r="T191" s="4">
        <f>IF(ISNUMBER(S191),S191*(1+IF(Settings!$B$11="Y",0,Settings!$B$10/100))+2*N(Settings!$B$9),"")</f>
        <v/>
      </c>
      <c r="U191">
        <f>IF(ISNUMBER(T191),IF(T191&lt;R191,"Rail","Road"),"")</f>
        <v/>
      </c>
      <c r="V191" s="4">
        <f>IF(ISNUMBER(T191),ABS(R191-T191),"")</f>
        <v/>
      </c>
      <c r="W191">
        <f>IF(OR(ISNUMBER(SEARCH("siding",D191)),ISNUMBER(SEARCH("rcr",D191)),ISNUMBER(SEARCH("rail",D191)),ISNUMBER(SEARCH("wagon",D191))),"Yes - siding/rail in title","Check")</f>
        <v/>
      </c>
      <c r="X191">
        <f>Settings!$B$6</f>
        <v/>
      </c>
    </row>
    <row r="192">
      <c r="A192" t="inlineStr">
        <is>
          <t>C 300-500 km</t>
        </is>
      </c>
      <c r="B192" t="inlineStr">
        <is>
          <t>15869642</t>
        </is>
      </c>
      <c r="C192" t="inlineStr">
        <is>
          <t>GEM/2025/B/6770510</t>
        </is>
      </c>
      <c r="D192" t="inlineStr">
        <is>
          <t>handling &amp; transport service, contractual unloading (mechanical cum manual) of coal from the rake of boxn wagons and transporting along with</t>
        </is>
      </c>
      <c r="E192" t="inlineStr">
        <is>
          <t>Washery / beneficiation</t>
        </is>
      </c>
      <c r="F192" t="inlineStr">
        <is>
          <t>Bharat Coking Coal Limited</t>
        </is>
      </c>
      <c r="G192" t="inlineStr">
        <is>
          <t>Jharkhand</t>
        </is>
      </c>
      <c r="H192" t="inlineStr">
        <is>
          <t>Dhanbad</t>
        </is>
      </c>
      <c r="I192" t="inlineStr">
        <is>
          <t>2025-10-30</t>
        </is>
      </c>
      <c r="J192" t="inlineStr">
        <is>
          <t>AOC</t>
        </is>
      </c>
      <c r="K192" t="inlineStr">
        <is>
          <t>Agarwal And Co</t>
        </is>
      </c>
      <c r="L192" t="inlineStr">
        <is>
          <t>United Coal Carriers</t>
        </is>
      </c>
      <c r="M192" t="inlineStr">
        <is>
          <t>5 named / 5</t>
        </is>
      </c>
      <c r="N192" t="n">
        <v>13.08</v>
      </c>
      <c r="O192" t="n">
        <v>376</v>
      </c>
      <c r="P192">
        <f>MAX(O192,Settings!$B$13)*Settings!$B$7</f>
        <v/>
      </c>
      <c r="Q192">
        <f>MAX(O192,Settings!$B$13)*Settings!$B$8</f>
        <v/>
      </c>
      <c r="R192" s="4">
        <f>MAX(P192*Settings!$B$5,IF(ISNUMBER(Settings!$B$12),Settings!$B$12,0))*(1+IF(Settings!$B$11="Y",0,Settings!$B$10/100))+N(Settings!$B$9)</f>
        <v/>
      </c>
      <c r="S192" s="4">
        <f>IF(Q192&gt;1000,"beyond table",IFERROR(LOOKUP(Q192,'FOIS 145A'!$A$2:$A$22,'FOIS 145A'!$C$2:$C$22),""))</f>
        <v/>
      </c>
      <c r="T192" s="4">
        <f>IF(ISNUMBER(S192),S192*(1+IF(Settings!$B$11="Y",0,Settings!$B$10/100))+2*N(Settings!$B$9),"")</f>
        <v/>
      </c>
      <c r="U192">
        <f>IF(ISNUMBER(T192),IF(T192&lt;R192,"Rail","Road"),"")</f>
        <v/>
      </c>
      <c r="V192" s="4">
        <f>IF(ISNUMBER(T192),ABS(R192-T192),"")</f>
        <v/>
      </c>
      <c r="W192">
        <f>IF(OR(ISNUMBER(SEARCH("siding",D192)),ISNUMBER(SEARCH("rcr",D192)),ISNUMBER(SEARCH("rail",D192)),ISNUMBER(SEARCH("wagon",D192))),"Yes - siding/rail in title","Check")</f>
        <v/>
      </c>
      <c r="X192">
        <f>Settings!$B$6</f>
        <v/>
      </c>
    </row>
    <row r="193">
      <c r="A193" t="inlineStr">
        <is>
          <t>C 300-500 km</t>
        </is>
      </c>
      <c r="B193" t="inlineStr">
        <is>
          <t>15855551</t>
        </is>
      </c>
      <c r="C193" t="inlineStr">
        <is>
          <t>GEM/2025/B/6740863</t>
        </is>
      </c>
      <c r="D193" t="inlineStr">
        <is>
          <t>handling &amp; transport service, transportation of 27,74,000 tonne of washery products such as washed coal, washed coal (power)  rejects on dai</t>
        </is>
      </c>
      <c r="E193" t="inlineStr">
        <is>
          <t>Washery / beneficiation</t>
        </is>
      </c>
      <c r="F193" t="inlineStr">
        <is>
          <t>Bharat Coking Coal Limited</t>
        </is>
      </c>
      <c r="G193" t="inlineStr">
        <is>
          <t>Jharkhand</t>
        </is>
      </c>
      <c r="H193" t="inlineStr">
        <is>
          <t>Dhanbad</t>
        </is>
      </c>
      <c r="I193" t="inlineStr">
        <is>
          <t>2025-10-15</t>
        </is>
      </c>
      <c r="J193" t="inlineStr">
        <is>
          <t>AOC</t>
        </is>
      </c>
      <c r="K193" t="inlineStr">
        <is>
          <t>Singh Natural Resource Private Limited</t>
        </is>
      </c>
      <c r="L193" t="inlineStr"/>
      <c r="M193" t="inlineStr">
        <is>
          <t>5 named / 12</t>
        </is>
      </c>
      <c r="N193" t="n">
        <v>9.19</v>
      </c>
      <c r="O193" t="n">
        <v>376</v>
      </c>
      <c r="P193">
        <f>MAX(O193,Settings!$B$13)*Settings!$B$7</f>
        <v/>
      </c>
      <c r="Q193">
        <f>MAX(O193,Settings!$B$13)*Settings!$B$8</f>
        <v/>
      </c>
      <c r="R193" s="4">
        <f>MAX(P193*Settings!$B$5,IF(ISNUMBER(Settings!$B$12),Settings!$B$12,0))*(1+IF(Settings!$B$11="Y",0,Settings!$B$10/100))+N(Settings!$B$9)</f>
        <v/>
      </c>
      <c r="S193" s="4">
        <f>IF(Q193&gt;1000,"beyond table",IFERROR(LOOKUP(Q193,'FOIS 145A'!$A$2:$A$22,'FOIS 145A'!$C$2:$C$22),""))</f>
        <v/>
      </c>
      <c r="T193" s="4">
        <f>IF(ISNUMBER(S193),S193*(1+IF(Settings!$B$11="Y",0,Settings!$B$10/100))+2*N(Settings!$B$9),"")</f>
        <v/>
      </c>
      <c r="U193">
        <f>IF(ISNUMBER(T193),IF(T193&lt;R193,"Rail","Road"),"")</f>
        <v/>
      </c>
      <c r="V193" s="4">
        <f>IF(ISNUMBER(T193),ABS(R193-T193),"")</f>
        <v/>
      </c>
      <c r="W193">
        <f>IF(OR(ISNUMBER(SEARCH("siding",D193)),ISNUMBER(SEARCH("rcr",D193)),ISNUMBER(SEARCH("rail",D193)),ISNUMBER(SEARCH("wagon",D193))),"Yes - siding/rail in title","Check")</f>
        <v/>
      </c>
      <c r="X193">
        <f>Settings!$B$6</f>
        <v/>
      </c>
    </row>
    <row r="194">
      <c r="A194" t="inlineStr">
        <is>
          <t>C 300-500 km</t>
        </is>
      </c>
      <c r="B194" t="inlineStr">
        <is>
          <t>16363678</t>
        </is>
      </c>
      <c r="C194" t="inlineStr">
        <is>
          <t>GEM/2025/B/7009749</t>
        </is>
      </c>
      <c r="D194" t="inlineStr">
        <is>
          <t>handling &amp; transport service , coal extraction , ob removal , hiring of hemm for removal of of ob , re-handling ob and coal extraction &amp; tra</t>
        </is>
      </c>
      <c r="E194" t="inlineStr">
        <is>
          <t>Mining services (OB / extraction)</t>
        </is>
      </c>
      <c r="F194" t="inlineStr">
        <is>
          <t>Central Coalfields Limited</t>
        </is>
      </c>
      <c r="G194" t="inlineStr">
        <is>
          <t>Jharkhand</t>
        </is>
      </c>
      <c r="H194" t="inlineStr">
        <is>
          <t>Giridih</t>
        </is>
      </c>
      <c r="I194" t="inlineStr">
        <is>
          <t>2025-12-31</t>
        </is>
      </c>
      <c r="J194" t="inlineStr">
        <is>
          <t>AOC</t>
        </is>
      </c>
      <c r="K194" t="inlineStr">
        <is>
          <t>Krishna Infrastructure</t>
        </is>
      </c>
      <c r="L194" t="inlineStr">
        <is>
          <t>Krishna Infrastructure</t>
        </is>
      </c>
      <c r="M194" t="inlineStr">
        <is>
          <t>5 named / 9</t>
        </is>
      </c>
      <c r="N194" t="n">
        <v>81.58</v>
      </c>
      <c r="O194" t="n">
        <v>391</v>
      </c>
      <c r="P194">
        <f>MAX(O194,Settings!$B$13)*Settings!$B$7</f>
        <v/>
      </c>
      <c r="Q194">
        <f>MAX(O194,Settings!$B$13)*Settings!$B$8</f>
        <v/>
      </c>
      <c r="R194" s="4">
        <f>MAX(P194*Settings!$B$5,IF(ISNUMBER(Settings!$B$12),Settings!$B$12,0))*(1+IF(Settings!$B$11="Y",0,Settings!$B$10/100))+N(Settings!$B$9)</f>
        <v/>
      </c>
      <c r="S194" s="4">
        <f>IF(Q194&gt;1000,"beyond table",IFERROR(LOOKUP(Q194,'FOIS 145A'!$A$2:$A$22,'FOIS 145A'!$C$2:$C$22),""))</f>
        <v/>
      </c>
      <c r="T194" s="4">
        <f>IF(ISNUMBER(S194),S194*(1+IF(Settings!$B$11="Y",0,Settings!$B$10/100))+2*N(Settings!$B$9),"")</f>
        <v/>
      </c>
      <c r="U194">
        <f>IF(ISNUMBER(T194),IF(T194&lt;R194,"Rail","Road"),"")</f>
        <v/>
      </c>
      <c r="V194" s="4">
        <f>IF(ISNUMBER(T194),ABS(R194-T194),"")</f>
        <v/>
      </c>
      <c r="W194">
        <f>IF(OR(ISNUMBER(SEARCH("siding",D194)),ISNUMBER(SEARCH("rcr",D194)),ISNUMBER(SEARCH("rail",D194)),ISNUMBER(SEARCH("wagon",D194))),"Yes - siding/rail in title","Check")</f>
        <v/>
      </c>
      <c r="X194">
        <f>Settings!$B$6</f>
        <v/>
      </c>
    </row>
    <row r="195">
      <c r="A195" t="inlineStr">
        <is>
          <t>C 300-500 km</t>
        </is>
      </c>
      <c r="B195" t="inlineStr">
        <is>
          <t>14500092</t>
        </is>
      </c>
      <c r="C195" t="inlineStr">
        <is>
          <t>2025_JPL_229882_1</t>
        </is>
      </c>
      <c r="D195" t="inlineStr">
        <is>
          <t>rate contract for secl kusmunda gevra dipka rcr works</t>
        </is>
      </c>
      <c r="E195" t="inlineStr">
        <is>
          <t>Coal transport (RCR / siding)</t>
        </is>
      </c>
      <c r="F195" t="inlineStr">
        <is>
          <t>Jhabua Power Limited</t>
        </is>
      </c>
      <c r="G195" t="inlineStr">
        <is>
          <t>Madhya Pradesh</t>
        </is>
      </c>
      <c r="H195" t="inlineStr">
        <is>
          <t>Seoni</t>
        </is>
      </c>
      <c r="I195" t="inlineStr">
        <is>
          <t>2025-04-05</t>
        </is>
      </c>
      <c r="J195" t="inlineStr">
        <is>
          <t>Financial</t>
        </is>
      </c>
      <c r="K195" t="inlineStr">
        <is>
          <t>-</t>
        </is>
      </c>
      <c r="L195" t="inlineStr">
        <is>
          <t>Indermani / Indramani</t>
        </is>
      </c>
      <c r="M195" t="inlineStr">
        <is>
          <t>5 named / 11</t>
        </is>
      </c>
      <c r="O195" t="n">
        <v>399</v>
      </c>
      <c r="P195">
        <f>MAX(O195,Settings!$B$13)*Settings!$B$7</f>
        <v/>
      </c>
      <c r="Q195">
        <f>MAX(O195,Settings!$B$13)*Settings!$B$8</f>
        <v/>
      </c>
      <c r="R195" s="4">
        <f>MAX(P195*Settings!$B$5,IF(ISNUMBER(Settings!$B$12),Settings!$B$12,0))*(1+IF(Settings!$B$11="Y",0,Settings!$B$10/100))+N(Settings!$B$9)</f>
        <v/>
      </c>
      <c r="S195" s="4">
        <f>IF(Q195&gt;1000,"beyond table",IFERROR(LOOKUP(Q195,'FOIS 145A'!$A$2:$A$22,'FOIS 145A'!$C$2:$C$22),""))</f>
        <v/>
      </c>
      <c r="T195" s="4">
        <f>IF(ISNUMBER(S195),S195*(1+IF(Settings!$B$11="Y",0,Settings!$B$10/100))+2*N(Settings!$B$9),"")</f>
        <v/>
      </c>
      <c r="U195">
        <f>IF(ISNUMBER(T195),IF(T195&lt;R195,"Rail","Road"),"")</f>
        <v/>
      </c>
      <c r="V195" s="4">
        <f>IF(ISNUMBER(T195),ABS(R195-T195),"")</f>
        <v/>
      </c>
      <c r="W195">
        <f>IF(OR(ISNUMBER(SEARCH("siding",D195)),ISNUMBER(SEARCH("rcr",D195)),ISNUMBER(SEARCH("rail",D195)),ISNUMBER(SEARCH("wagon",D195))),"Yes - siding/rail in title","Check")</f>
        <v/>
      </c>
      <c r="X195">
        <f>Settings!$B$6</f>
        <v/>
      </c>
    </row>
    <row r="196">
      <c r="A196" t="inlineStr">
        <is>
          <t>C 300-500 km</t>
        </is>
      </c>
      <c r="B196" t="inlineStr">
        <is>
          <t>16966075</t>
        </is>
      </c>
      <c r="C196" t="inlineStr">
        <is>
          <t>2026_JPL_271414_1</t>
        </is>
      </c>
      <c r="D196" t="inlineStr">
        <is>
          <t>coal coordination liasoning and loading supervision at secl ncl ccl mcl indian railways mop moc cea subgroup for all types of coal in direct</t>
        </is>
      </c>
      <c r="E196" t="inlineStr">
        <is>
          <t>Loading / handling / crushing</t>
        </is>
      </c>
      <c r="F196" t="inlineStr">
        <is>
          <t>Jhabua Power Limited</t>
        </is>
      </c>
      <c r="G196" t="inlineStr">
        <is>
          <t>Madhya Pradesh</t>
        </is>
      </c>
      <c r="H196" t="inlineStr">
        <is>
          <t>Seoni</t>
        </is>
      </c>
      <c r="I196" t="inlineStr">
        <is>
          <t>2026-04-06</t>
        </is>
      </c>
      <c r="J196" t="inlineStr">
        <is>
          <t>Financial</t>
        </is>
      </c>
      <c r="K196" t="inlineStr">
        <is>
          <t>-</t>
        </is>
      </c>
      <c r="L196" t="inlineStr"/>
      <c r="M196" t="inlineStr">
        <is>
          <t>5 named / 9</t>
        </is>
      </c>
      <c r="O196" t="n">
        <v>399</v>
      </c>
      <c r="P196">
        <f>MAX(O196,Settings!$B$13)*Settings!$B$7</f>
        <v/>
      </c>
      <c r="Q196">
        <f>MAX(O196,Settings!$B$13)*Settings!$B$8</f>
        <v/>
      </c>
      <c r="R196" s="4">
        <f>MAX(P196*Settings!$B$5,IF(ISNUMBER(Settings!$B$12),Settings!$B$12,0))*(1+IF(Settings!$B$11="Y",0,Settings!$B$10/100))+N(Settings!$B$9)</f>
        <v/>
      </c>
      <c r="S196" s="4">
        <f>IF(Q196&gt;1000,"beyond table",IFERROR(LOOKUP(Q196,'FOIS 145A'!$A$2:$A$22,'FOIS 145A'!$C$2:$C$22),""))</f>
        <v/>
      </c>
      <c r="T196" s="4">
        <f>IF(ISNUMBER(S196),S196*(1+IF(Settings!$B$11="Y",0,Settings!$B$10/100))+2*N(Settings!$B$9),"")</f>
        <v/>
      </c>
      <c r="U196">
        <f>IF(ISNUMBER(T196),IF(T196&lt;R196,"Rail","Road"),"")</f>
        <v/>
      </c>
      <c r="V196" s="4">
        <f>IF(ISNUMBER(T196),ABS(R196-T196),"")</f>
        <v/>
      </c>
      <c r="W196">
        <f>IF(OR(ISNUMBER(SEARCH("siding",D196)),ISNUMBER(SEARCH("rcr",D196)),ISNUMBER(SEARCH("rail",D196)),ISNUMBER(SEARCH("wagon",D196))),"Yes - siding/rail in title","Check")</f>
        <v/>
      </c>
      <c r="X196">
        <f>Settings!$B$6</f>
        <v/>
      </c>
    </row>
    <row r="197">
      <c r="A197" t="inlineStr">
        <is>
          <t>C 300-500 km</t>
        </is>
      </c>
      <c r="B197" t="inlineStr">
        <is>
          <t>14974101</t>
        </is>
      </c>
      <c r="C197" t="inlineStr">
        <is>
          <t>2025_JPL_244699_1</t>
        </is>
      </c>
      <c r="D197" t="inlineStr">
        <is>
          <t>manual unloading of coal rakes at jhabua power pjpb siding inside plant</t>
        </is>
      </c>
      <c r="E197" t="inlineStr">
        <is>
          <t>Loading / handling / crushing</t>
        </is>
      </c>
      <c r="F197" t="inlineStr">
        <is>
          <t>Jhabua Power Limited</t>
        </is>
      </c>
      <c r="G197" t="inlineStr">
        <is>
          <t>Madhya Pradesh</t>
        </is>
      </c>
      <c r="H197" t="inlineStr">
        <is>
          <t>Seoni</t>
        </is>
      </c>
      <c r="I197" t="inlineStr">
        <is>
          <t>2025-09-13</t>
        </is>
      </c>
      <c r="J197" t="inlineStr">
        <is>
          <t>Financial</t>
        </is>
      </c>
      <c r="K197" t="inlineStr">
        <is>
          <t>-</t>
        </is>
      </c>
      <c r="L197" t="inlineStr">
        <is>
          <t>United Coal Carriers</t>
        </is>
      </c>
      <c r="M197" t="inlineStr">
        <is>
          <t>5 named / 9</t>
        </is>
      </c>
      <c r="O197" t="n">
        <v>399</v>
      </c>
      <c r="P197">
        <f>MAX(O197,Settings!$B$13)*Settings!$B$7</f>
        <v/>
      </c>
      <c r="Q197">
        <f>MAX(O197,Settings!$B$13)*Settings!$B$8</f>
        <v/>
      </c>
      <c r="R197" s="4">
        <f>MAX(P197*Settings!$B$5,IF(ISNUMBER(Settings!$B$12),Settings!$B$12,0))*(1+IF(Settings!$B$11="Y",0,Settings!$B$10/100))+N(Settings!$B$9)</f>
        <v/>
      </c>
      <c r="S197" s="4">
        <f>IF(Q197&gt;1000,"beyond table",IFERROR(LOOKUP(Q197,'FOIS 145A'!$A$2:$A$22,'FOIS 145A'!$C$2:$C$22),""))</f>
        <v/>
      </c>
      <c r="T197" s="4">
        <f>IF(ISNUMBER(S197),S197*(1+IF(Settings!$B$11="Y",0,Settings!$B$10/100))+2*N(Settings!$B$9),"")</f>
        <v/>
      </c>
      <c r="U197">
        <f>IF(ISNUMBER(T197),IF(T197&lt;R197,"Rail","Road"),"")</f>
        <v/>
      </c>
      <c r="V197" s="4">
        <f>IF(ISNUMBER(T197),ABS(R197-T197),"")</f>
        <v/>
      </c>
      <c r="W197">
        <f>IF(OR(ISNUMBER(SEARCH("siding",D197)),ISNUMBER(SEARCH("rcr",D197)),ISNUMBER(SEARCH("rail",D197)),ISNUMBER(SEARCH("wagon",D197))),"Yes - siding/rail in title","Check")</f>
        <v/>
      </c>
      <c r="X197">
        <f>Settings!$B$6</f>
        <v/>
      </c>
    </row>
    <row r="198">
      <c r="A198" t="inlineStr">
        <is>
          <t>C 300-500 km</t>
        </is>
      </c>
      <c r="B198" t="inlineStr">
        <is>
          <t>13308953</t>
        </is>
      </c>
      <c r="C198" t="inlineStr">
        <is>
          <t>2025_JPL_230047_1</t>
        </is>
      </c>
      <c r="D198" t="inlineStr">
        <is>
          <t>linakge coal coordination and loading direct rail mode</t>
        </is>
      </c>
      <c r="E198" t="inlineStr">
        <is>
          <t>Loading / handling / crushing</t>
        </is>
      </c>
      <c r="F198" t="inlineStr">
        <is>
          <t>Jhabua Power Limited</t>
        </is>
      </c>
      <c r="G198" t="inlineStr">
        <is>
          <t>Madhya Pradesh</t>
        </is>
      </c>
      <c r="H198" t="inlineStr">
        <is>
          <t>Seoni</t>
        </is>
      </c>
      <c r="I198" t="inlineStr">
        <is>
          <t>2025-04-05</t>
        </is>
      </c>
      <c r="J198" t="inlineStr">
        <is>
          <t>Financial</t>
        </is>
      </c>
      <c r="K198" t="inlineStr">
        <is>
          <t>-</t>
        </is>
      </c>
      <c r="L198" t="inlineStr">
        <is>
          <t>Godavari Commodities</t>
        </is>
      </c>
      <c r="M198" t="inlineStr">
        <is>
          <t>5 named / 15</t>
        </is>
      </c>
      <c r="O198" t="n">
        <v>399</v>
      </c>
      <c r="P198">
        <f>MAX(O198,Settings!$B$13)*Settings!$B$7</f>
        <v/>
      </c>
      <c r="Q198">
        <f>MAX(O198,Settings!$B$13)*Settings!$B$8</f>
        <v/>
      </c>
      <c r="R198" s="4">
        <f>MAX(P198*Settings!$B$5,IF(ISNUMBER(Settings!$B$12),Settings!$B$12,0))*(1+IF(Settings!$B$11="Y",0,Settings!$B$10/100))+N(Settings!$B$9)</f>
        <v/>
      </c>
      <c r="S198" s="4">
        <f>IF(Q198&gt;1000,"beyond table",IFERROR(LOOKUP(Q198,'FOIS 145A'!$A$2:$A$22,'FOIS 145A'!$C$2:$C$22),""))</f>
        <v/>
      </c>
      <c r="T198" s="4">
        <f>IF(ISNUMBER(S198),S198*(1+IF(Settings!$B$11="Y",0,Settings!$B$10/100))+2*N(Settings!$B$9),"")</f>
        <v/>
      </c>
      <c r="U198">
        <f>IF(ISNUMBER(T198),IF(T198&lt;R198,"Rail","Road"),"")</f>
        <v/>
      </c>
      <c r="V198" s="4">
        <f>IF(ISNUMBER(T198),ABS(R198-T198),"")</f>
        <v/>
      </c>
      <c r="W198">
        <f>IF(OR(ISNUMBER(SEARCH("siding",D198)),ISNUMBER(SEARCH("rcr",D198)),ISNUMBER(SEARCH("rail",D198)),ISNUMBER(SEARCH("wagon",D198))),"Yes - siding/rail in title","Check")</f>
        <v/>
      </c>
      <c r="X198">
        <f>Settings!$B$6</f>
        <v/>
      </c>
    </row>
    <row r="199">
      <c r="A199" t="inlineStr">
        <is>
          <t>C 300-500 km</t>
        </is>
      </c>
      <c r="B199" t="inlineStr">
        <is>
          <t>13016749</t>
        </is>
      </c>
      <c r="C199" t="inlineStr">
        <is>
          <t>2025_JPL_228306_1</t>
        </is>
      </c>
      <c r="D199" t="inlineStr">
        <is>
          <t>rcr from secl kusmuda 1lmt</t>
        </is>
      </c>
      <c r="E199" t="inlineStr">
        <is>
          <t>Other</t>
        </is>
      </c>
      <c r="F199" t="inlineStr">
        <is>
          <t>Jhabua Power Limited</t>
        </is>
      </c>
      <c r="G199" t="inlineStr">
        <is>
          <t>Madhya Pradesh</t>
        </is>
      </c>
      <c r="H199" t="inlineStr">
        <is>
          <t>Seoni</t>
        </is>
      </c>
      <c r="I199" t="inlineStr">
        <is>
          <t>2025-03-15</t>
        </is>
      </c>
      <c r="J199" t="inlineStr">
        <is>
          <t>Financial</t>
        </is>
      </c>
      <c r="K199" t="inlineStr">
        <is>
          <t>-</t>
        </is>
      </c>
      <c r="L199" t="inlineStr">
        <is>
          <t>Indermani / Indramani</t>
        </is>
      </c>
      <c r="M199" t="inlineStr">
        <is>
          <t>2 named / 2</t>
        </is>
      </c>
      <c r="O199" t="n">
        <v>399</v>
      </c>
      <c r="P199">
        <f>MAX(O199,Settings!$B$13)*Settings!$B$7</f>
        <v/>
      </c>
      <c r="Q199">
        <f>MAX(O199,Settings!$B$13)*Settings!$B$8</f>
        <v/>
      </c>
      <c r="R199" s="4">
        <f>MAX(P199*Settings!$B$5,IF(ISNUMBER(Settings!$B$12),Settings!$B$12,0))*(1+IF(Settings!$B$11="Y",0,Settings!$B$10/100))+N(Settings!$B$9)</f>
        <v/>
      </c>
      <c r="S199" s="4">
        <f>IF(Q199&gt;1000,"beyond table",IFERROR(LOOKUP(Q199,'FOIS 145A'!$A$2:$A$22,'FOIS 145A'!$C$2:$C$22),""))</f>
        <v/>
      </c>
      <c r="T199" s="4">
        <f>IF(ISNUMBER(S199),S199*(1+IF(Settings!$B$11="Y",0,Settings!$B$10/100))+2*N(Settings!$B$9),"")</f>
        <v/>
      </c>
      <c r="U199">
        <f>IF(ISNUMBER(T199),IF(T199&lt;R199,"Rail","Road"),"")</f>
        <v/>
      </c>
      <c r="V199" s="4">
        <f>IF(ISNUMBER(T199),ABS(R199-T199),"")</f>
        <v/>
      </c>
      <c r="W199">
        <f>IF(OR(ISNUMBER(SEARCH("siding",D199)),ISNUMBER(SEARCH("rcr",D199)),ISNUMBER(SEARCH("rail",D199)),ISNUMBER(SEARCH("wagon",D199))),"Yes - siding/rail in title","Check")</f>
        <v/>
      </c>
      <c r="X199">
        <f>Settings!$B$6</f>
        <v/>
      </c>
    </row>
    <row r="200">
      <c r="A200" t="inlineStr">
        <is>
          <t>C 300-500 km</t>
        </is>
      </c>
      <c r="B200" t="inlineStr">
        <is>
          <t>12640445</t>
        </is>
      </c>
      <c r="C200" t="inlineStr">
        <is>
          <t>2025_JPL_225309_1</t>
        </is>
      </c>
      <c r="D200" t="inlineStr">
        <is>
          <t>rcr from secl mines</t>
        </is>
      </c>
      <c r="E200" t="inlineStr">
        <is>
          <t>Other</t>
        </is>
      </c>
      <c r="F200" t="inlineStr">
        <is>
          <t>Jhabua Power Limited</t>
        </is>
      </c>
      <c r="G200" t="inlineStr">
        <is>
          <t>Madhya Pradesh</t>
        </is>
      </c>
      <c r="H200" t="inlineStr">
        <is>
          <t>Seoni</t>
        </is>
      </c>
      <c r="I200" t="inlineStr">
        <is>
          <t>2025-02-12</t>
        </is>
      </c>
      <c r="J200" t="inlineStr">
        <is>
          <t>Financial</t>
        </is>
      </c>
      <c r="K200" t="inlineStr">
        <is>
          <t>-</t>
        </is>
      </c>
      <c r="L200" t="inlineStr">
        <is>
          <t>Indermani / Indramani, Omax</t>
        </is>
      </c>
      <c r="M200" t="inlineStr">
        <is>
          <t>5 named / 7</t>
        </is>
      </c>
      <c r="O200" t="n">
        <v>399</v>
      </c>
      <c r="P200">
        <f>MAX(O200,Settings!$B$13)*Settings!$B$7</f>
        <v/>
      </c>
      <c r="Q200">
        <f>MAX(O200,Settings!$B$13)*Settings!$B$8</f>
        <v/>
      </c>
      <c r="R200" s="4">
        <f>MAX(P200*Settings!$B$5,IF(ISNUMBER(Settings!$B$12),Settings!$B$12,0))*(1+IF(Settings!$B$11="Y",0,Settings!$B$10/100))+N(Settings!$B$9)</f>
        <v/>
      </c>
      <c r="S200" s="4">
        <f>IF(Q200&gt;1000,"beyond table",IFERROR(LOOKUP(Q200,'FOIS 145A'!$A$2:$A$22,'FOIS 145A'!$C$2:$C$22),""))</f>
        <v/>
      </c>
      <c r="T200" s="4">
        <f>IF(ISNUMBER(S200),S200*(1+IF(Settings!$B$11="Y",0,Settings!$B$10/100))+2*N(Settings!$B$9),"")</f>
        <v/>
      </c>
      <c r="U200">
        <f>IF(ISNUMBER(T200),IF(T200&lt;R200,"Rail","Road"),"")</f>
        <v/>
      </c>
      <c r="V200" s="4">
        <f>IF(ISNUMBER(T200),ABS(R200-T200),"")</f>
        <v/>
      </c>
      <c r="W200">
        <f>IF(OR(ISNUMBER(SEARCH("siding",D200)),ISNUMBER(SEARCH("rcr",D200)),ISNUMBER(SEARCH("rail",D200)),ISNUMBER(SEARCH("wagon",D200))),"Yes - siding/rail in title","Check")</f>
        <v/>
      </c>
      <c r="X200">
        <f>Settings!$B$6</f>
        <v/>
      </c>
    </row>
    <row r="201">
      <c r="A201" t="inlineStr">
        <is>
          <t>C 300-500 km</t>
        </is>
      </c>
      <c r="B201" t="inlineStr">
        <is>
          <t>13461457</t>
        </is>
      </c>
      <c r="C201" t="inlineStr">
        <is>
          <t>2025_WBPDC_830354_1</t>
        </is>
      </c>
      <c r="D201" t="inlineStr">
        <is>
          <t>contract for operation of rake movement and unloading of coal from n-box and bobr wagons for two years at chp, ktps</t>
        </is>
      </c>
      <c r="E201" t="inlineStr">
        <is>
          <t>Loading / handling / crushing</t>
        </is>
      </c>
      <c r="F201" t="inlineStr">
        <is>
          <t>West Bengal Power Development Corporation Limited</t>
        </is>
      </c>
      <c r="G201" t="inlineStr">
        <is>
          <t>West Bengal</t>
        </is>
      </c>
      <c r="H201" t="inlineStr">
        <is>
          <t>Midnapore</t>
        </is>
      </c>
      <c r="I201" t="inlineStr">
        <is>
          <t>2025-05-03</t>
        </is>
      </c>
      <c r="J201" t="inlineStr">
        <is>
          <t>AOC</t>
        </is>
      </c>
      <c r="K201" t="inlineStr">
        <is>
          <t>Project Construction Services</t>
        </is>
      </c>
      <c r="L201" t="inlineStr">
        <is>
          <t>Godavari Commodities</t>
        </is>
      </c>
      <c r="M201" t="inlineStr">
        <is>
          <t>3 named / 3</t>
        </is>
      </c>
      <c r="N201" t="n">
        <v>4.54</v>
      </c>
      <c r="O201" t="n">
        <v>408</v>
      </c>
      <c r="P201">
        <f>MAX(O201,Settings!$B$13)*Settings!$B$7</f>
        <v/>
      </c>
      <c r="Q201">
        <f>MAX(O201,Settings!$B$13)*Settings!$B$8</f>
        <v/>
      </c>
      <c r="R201" s="4">
        <f>MAX(P201*Settings!$B$5,IF(ISNUMBER(Settings!$B$12),Settings!$B$12,0))*(1+IF(Settings!$B$11="Y",0,Settings!$B$10/100))+N(Settings!$B$9)</f>
        <v/>
      </c>
      <c r="S201" s="4">
        <f>IF(Q201&gt;1000,"beyond table",IFERROR(LOOKUP(Q201,'FOIS 145A'!$A$2:$A$22,'FOIS 145A'!$C$2:$C$22),""))</f>
        <v/>
      </c>
      <c r="T201" s="4">
        <f>IF(ISNUMBER(S201),S201*(1+IF(Settings!$B$11="Y",0,Settings!$B$10/100))+2*N(Settings!$B$9),"")</f>
        <v/>
      </c>
      <c r="U201">
        <f>IF(ISNUMBER(T201),IF(T201&lt;R201,"Rail","Road"),"")</f>
        <v/>
      </c>
      <c r="V201" s="4">
        <f>IF(ISNUMBER(T201),ABS(R201-T201),"")</f>
        <v/>
      </c>
      <c r="W201">
        <f>IF(OR(ISNUMBER(SEARCH("siding",D201)),ISNUMBER(SEARCH("rcr",D201)),ISNUMBER(SEARCH("rail",D201)),ISNUMBER(SEARCH("wagon",D201))),"Yes - siding/rail in title","Check")</f>
        <v/>
      </c>
      <c r="X201">
        <f>Settings!$B$6</f>
        <v/>
      </c>
    </row>
    <row r="202">
      <c r="A202" t="inlineStr">
        <is>
          <t>C 300-500 km</t>
        </is>
      </c>
      <c r="B202" t="inlineStr">
        <is>
          <t>14137488</t>
        </is>
      </c>
      <c r="C202" t="inlineStr">
        <is>
          <t>GEM/2025/B/6289474</t>
        </is>
      </c>
      <c r="D202" t="inlineStr">
        <is>
          <t>hiring of an agency for road transportation of coal including liaisoning,</t>
        </is>
      </c>
      <c r="E202" t="inlineStr">
        <is>
          <t>Coal transport (road)</t>
        </is>
      </c>
      <c r="F202" t="inlineStr">
        <is>
          <t>Satluj Jal Vidyut Nigam Limited</t>
        </is>
      </c>
      <c r="G202" t="inlineStr">
        <is>
          <t>Bihar</t>
        </is>
      </c>
      <c r="H202" t="inlineStr">
        <is>
          <t>Buxar</t>
        </is>
      </c>
      <c r="I202" t="inlineStr">
        <is>
          <t>2025-06-17</t>
        </is>
      </c>
      <c r="J202" t="inlineStr">
        <is>
          <t>AOC</t>
        </is>
      </c>
      <c r="K202" t="inlineStr">
        <is>
          <t>Pragati Indian Road Lines</t>
        </is>
      </c>
      <c r="L202" t="inlineStr">
        <is>
          <t>Anoop Road Carriers, Godavari Commodities</t>
        </is>
      </c>
      <c r="M202" t="inlineStr">
        <is>
          <t>5 named / 18</t>
        </is>
      </c>
      <c r="N202" t="n">
        <v>94.75</v>
      </c>
      <c r="O202" t="n">
        <v>411</v>
      </c>
      <c r="P202">
        <f>MAX(O202,Settings!$B$13)*Settings!$B$7</f>
        <v/>
      </c>
      <c r="Q202">
        <f>MAX(O202,Settings!$B$13)*Settings!$B$8</f>
        <v/>
      </c>
      <c r="R202" s="4">
        <f>MAX(P202*Settings!$B$5,IF(ISNUMBER(Settings!$B$12),Settings!$B$12,0))*(1+IF(Settings!$B$11="Y",0,Settings!$B$10/100))+N(Settings!$B$9)</f>
        <v/>
      </c>
      <c r="S202" s="4">
        <f>IF(Q202&gt;1000,"beyond table",IFERROR(LOOKUP(Q202,'FOIS 145A'!$A$2:$A$22,'FOIS 145A'!$C$2:$C$22),""))</f>
        <v/>
      </c>
      <c r="T202" s="4">
        <f>IF(ISNUMBER(S202),S202*(1+IF(Settings!$B$11="Y",0,Settings!$B$10/100))+2*N(Settings!$B$9),"")</f>
        <v/>
      </c>
      <c r="U202">
        <f>IF(ISNUMBER(T202),IF(T202&lt;R202,"Rail","Road"),"")</f>
        <v/>
      </c>
      <c r="V202" s="4">
        <f>IF(ISNUMBER(T202),ABS(R202-T202),"")</f>
        <v/>
      </c>
      <c r="W202">
        <f>IF(OR(ISNUMBER(SEARCH("siding",D202)),ISNUMBER(SEARCH("rcr",D202)),ISNUMBER(SEARCH("rail",D202)),ISNUMBER(SEARCH("wagon",D202))),"Yes - siding/rail in title","Check")</f>
        <v/>
      </c>
      <c r="X202">
        <f>Settings!$B$6</f>
        <v/>
      </c>
    </row>
    <row r="203">
      <c r="A203" t="inlineStr">
        <is>
          <t>C 300-500 km</t>
        </is>
      </c>
      <c r="B203" t="inlineStr">
        <is>
          <t>16814789</t>
        </is>
      </c>
      <c r="C203" t="inlineStr">
        <is>
          <t>GEM/2026/B/7315717</t>
        </is>
      </c>
      <c r="D203" t="inlineStr">
        <is>
          <t>coal transportation from ramnagore colliery to nspcl durgapur</t>
        </is>
      </c>
      <c r="E203" t="inlineStr">
        <is>
          <t>Coal transport (road)</t>
        </is>
      </c>
      <c r="F203" t="inlineStr">
        <is>
          <t>Ntpc-Sail Power Company Private Limited</t>
        </is>
      </c>
      <c r="G203" t="inlineStr">
        <is>
          <t>West Bengal</t>
        </is>
      </c>
      <c r="H203" t="inlineStr">
        <is>
          <t>Durgapur</t>
        </is>
      </c>
      <c r="I203" t="inlineStr">
        <is>
          <t>2026-03-16</t>
        </is>
      </c>
      <c r="J203" t="inlineStr">
        <is>
          <t>AOC</t>
        </is>
      </c>
      <c r="K203" t="inlineStr">
        <is>
          <t>M/S United Coal Carriers</t>
        </is>
      </c>
      <c r="L203" t="inlineStr">
        <is>
          <t>United Coal Carriers</t>
        </is>
      </c>
      <c r="M203" t="inlineStr">
        <is>
          <t>5 named / 5</t>
        </is>
      </c>
      <c r="N203" t="n">
        <v>0.21</v>
      </c>
      <c r="O203" t="n">
        <v>442</v>
      </c>
      <c r="P203">
        <f>MAX(O203,Settings!$B$13)*Settings!$B$7</f>
        <v/>
      </c>
      <c r="Q203">
        <f>MAX(O203,Settings!$B$13)*Settings!$B$8</f>
        <v/>
      </c>
      <c r="R203" s="4">
        <f>MAX(P203*Settings!$B$5,IF(ISNUMBER(Settings!$B$12),Settings!$B$12,0))*(1+IF(Settings!$B$11="Y",0,Settings!$B$10/100))+N(Settings!$B$9)</f>
        <v/>
      </c>
      <c r="S203" s="4">
        <f>IF(Q203&gt;1000,"beyond table",IFERROR(LOOKUP(Q203,'FOIS 145A'!$A$2:$A$22,'FOIS 145A'!$C$2:$C$22),""))</f>
        <v/>
      </c>
      <c r="T203" s="4">
        <f>IF(ISNUMBER(S203),S203*(1+IF(Settings!$B$11="Y",0,Settings!$B$10/100))+2*N(Settings!$B$9),"")</f>
        <v/>
      </c>
      <c r="U203">
        <f>IF(ISNUMBER(T203),IF(T203&lt;R203,"Rail","Road"),"")</f>
        <v/>
      </c>
      <c r="V203" s="4">
        <f>IF(ISNUMBER(T203),ABS(R203-T203),"")</f>
        <v/>
      </c>
      <c r="W203">
        <f>IF(OR(ISNUMBER(SEARCH("siding",D203)),ISNUMBER(SEARCH("rcr",D203)),ISNUMBER(SEARCH("rail",D203)),ISNUMBER(SEARCH("wagon",D203))),"Yes - siding/rail in title","Check")</f>
        <v/>
      </c>
      <c r="X203">
        <f>Settings!$B$6</f>
        <v/>
      </c>
    </row>
    <row r="204">
      <c r="A204" t="inlineStr">
        <is>
          <t>C 300-500 km</t>
        </is>
      </c>
      <c r="B204" t="inlineStr">
        <is>
          <t>16080231</t>
        </is>
      </c>
      <c r="C204" t="inlineStr">
        <is>
          <t>GEM/2025/B/7016181</t>
        </is>
      </c>
      <c r="D204" t="inlineStr">
        <is>
          <t>short term one time coal shifting from dsp beds to nspcl coal yard,pp-ii and pp-iii</t>
        </is>
      </c>
      <c r="E204" t="inlineStr">
        <is>
          <t>Loading / handling / crushing</t>
        </is>
      </c>
      <c r="F204" t="inlineStr">
        <is>
          <t>Ntpc-Sail Power Company Private Limited</t>
        </is>
      </c>
      <c r="G204" t="inlineStr">
        <is>
          <t>West Bengal</t>
        </is>
      </c>
      <c r="H204" t="inlineStr">
        <is>
          <t>Durgapur</t>
        </is>
      </c>
      <c r="I204" t="inlineStr">
        <is>
          <t>2025-12-29</t>
        </is>
      </c>
      <c r="J204" t="inlineStr">
        <is>
          <t>Financial</t>
        </is>
      </c>
      <c r="K204" t="inlineStr">
        <is>
          <t>-</t>
        </is>
      </c>
      <c r="L204" t="inlineStr">
        <is>
          <t>United Coal Carriers</t>
        </is>
      </c>
      <c r="M204" t="inlineStr">
        <is>
          <t>5 named / 6</t>
        </is>
      </c>
      <c r="O204" t="n">
        <v>442</v>
      </c>
      <c r="P204">
        <f>MAX(O204,Settings!$B$13)*Settings!$B$7</f>
        <v/>
      </c>
      <c r="Q204">
        <f>MAX(O204,Settings!$B$13)*Settings!$B$8</f>
        <v/>
      </c>
      <c r="R204" s="4">
        <f>MAX(P204*Settings!$B$5,IF(ISNUMBER(Settings!$B$12),Settings!$B$12,0))*(1+IF(Settings!$B$11="Y",0,Settings!$B$10/100))+N(Settings!$B$9)</f>
        <v/>
      </c>
      <c r="S204" s="4">
        <f>IF(Q204&gt;1000,"beyond table",IFERROR(LOOKUP(Q204,'FOIS 145A'!$A$2:$A$22,'FOIS 145A'!$C$2:$C$22),""))</f>
        <v/>
      </c>
      <c r="T204" s="4">
        <f>IF(ISNUMBER(S204),S204*(1+IF(Settings!$B$11="Y",0,Settings!$B$10/100))+2*N(Settings!$B$9),"")</f>
        <v/>
      </c>
      <c r="U204">
        <f>IF(ISNUMBER(T204),IF(T204&lt;R204,"Rail","Road"),"")</f>
        <v/>
      </c>
      <c r="V204" s="4">
        <f>IF(ISNUMBER(T204),ABS(R204-T204),"")</f>
        <v/>
      </c>
      <c r="W204">
        <f>IF(OR(ISNUMBER(SEARCH("siding",D204)),ISNUMBER(SEARCH("rcr",D204)),ISNUMBER(SEARCH("rail",D204)),ISNUMBER(SEARCH("wagon",D204))),"Yes - siding/rail in title","Check")</f>
        <v/>
      </c>
      <c r="X204">
        <f>Settings!$B$6</f>
        <v/>
      </c>
    </row>
    <row r="205">
      <c r="A205" t="inlineStr">
        <is>
          <t>C 300-500 km</t>
        </is>
      </c>
      <c r="B205" t="inlineStr">
        <is>
          <t>13548763</t>
        </is>
      </c>
      <c r="C205" t="inlineStr">
        <is>
          <t>GEM/2025/B/6130476</t>
        </is>
      </c>
      <c r="D205" t="inlineStr">
        <is>
          <t>coal shifting from dsp beds to nspcl coal yard of chp pp-ii and iii(ssc/2</t>
        </is>
      </c>
      <c r="E205" t="inlineStr">
        <is>
          <t>Loading / handling / crushing</t>
        </is>
      </c>
      <c r="F205" t="inlineStr">
        <is>
          <t>Ntpc-Sail Power Company Private Limited</t>
        </is>
      </c>
      <c r="G205" t="inlineStr">
        <is>
          <t>West Bengal</t>
        </is>
      </c>
      <c r="H205" t="inlineStr">
        <is>
          <t>Durgapur</t>
        </is>
      </c>
      <c r="I205" t="inlineStr">
        <is>
          <t>2025-05-15</t>
        </is>
      </c>
      <c r="J205" t="inlineStr">
        <is>
          <t>AOC</t>
        </is>
      </c>
      <c r="K205" t="inlineStr">
        <is>
          <t>Phoenix Solutions</t>
        </is>
      </c>
      <c r="L205" t="inlineStr">
        <is>
          <t>Nkas Services</t>
        </is>
      </c>
      <c r="M205" t="inlineStr">
        <is>
          <t>5 named / 5</t>
        </is>
      </c>
      <c r="N205" t="n">
        <v>1.63</v>
      </c>
      <c r="O205" t="n">
        <v>442</v>
      </c>
      <c r="P205">
        <f>MAX(O205,Settings!$B$13)*Settings!$B$7</f>
        <v/>
      </c>
      <c r="Q205">
        <f>MAX(O205,Settings!$B$13)*Settings!$B$8</f>
        <v/>
      </c>
      <c r="R205" s="4">
        <f>MAX(P205*Settings!$B$5,IF(ISNUMBER(Settings!$B$12),Settings!$B$12,0))*(1+IF(Settings!$B$11="Y",0,Settings!$B$10/100))+N(Settings!$B$9)</f>
        <v/>
      </c>
      <c r="S205" s="4">
        <f>IF(Q205&gt;1000,"beyond table",IFERROR(LOOKUP(Q205,'FOIS 145A'!$A$2:$A$22,'FOIS 145A'!$C$2:$C$22),""))</f>
        <v/>
      </c>
      <c r="T205" s="4">
        <f>IF(ISNUMBER(S205),S205*(1+IF(Settings!$B$11="Y",0,Settings!$B$10/100))+2*N(Settings!$B$9),"")</f>
        <v/>
      </c>
      <c r="U205">
        <f>IF(ISNUMBER(T205),IF(T205&lt;R205,"Rail","Road"),"")</f>
        <v/>
      </c>
      <c r="V205" s="4">
        <f>IF(ISNUMBER(T205),ABS(R205-T205),"")</f>
        <v/>
      </c>
      <c r="W205">
        <f>IF(OR(ISNUMBER(SEARCH("siding",D205)),ISNUMBER(SEARCH("rcr",D205)),ISNUMBER(SEARCH("rail",D205)),ISNUMBER(SEARCH("wagon",D205))),"Yes - siding/rail in title","Check")</f>
        <v/>
      </c>
      <c r="X205">
        <f>Settings!$B$6</f>
        <v/>
      </c>
    </row>
    <row r="206">
      <c r="A206" t="inlineStr">
        <is>
          <t>C 300-500 km</t>
        </is>
      </c>
      <c r="B206" t="inlineStr">
        <is>
          <t>12298393</t>
        </is>
      </c>
      <c r="C206" t="inlineStr">
        <is>
          <t>GEM/2024/B/5717697</t>
        </is>
      </c>
      <c r="D206" t="inlineStr">
        <is>
          <t>coal shifting from dsp beds to nspcl coal yard of chp ppii and iii for 3</t>
        </is>
      </c>
      <c r="E206" t="inlineStr">
        <is>
          <t>Loading / handling / crushing</t>
        </is>
      </c>
      <c r="F206" t="inlineStr">
        <is>
          <t>Ntpc-Sail Power Company Private Limited</t>
        </is>
      </c>
      <c r="G206" t="inlineStr">
        <is>
          <t>West Bengal</t>
        </is>
      </c>
      <c r="H206" t="inlineStr">
        <is>
          <t>Durgapur</t>
        </is>
      </c>
      <c r="I206" t="inlineStr">
        <is>
          <t>2025-01-01</t>
        </is>
      </c>
      <c r="J206" t="inlineStr">
        <is>
          <t>AOC</t>
        </is>
      </c>
      <c r="K206" t="inlineStr">
        <is>
          <t>M/S United Coal Carriers</t>
        </is>
      </c>
      <c r="L206" t="inlineStr">
        <is>
          <t>United Coal Carriers</t>
        </is>
      </c>
      <c r="M206" t="inlineStr">
        <is>
          <t>4 named / 4</t>
        </is>
      </c>
      <c r="N206" t="n">
        <v>0.85</v>
      </c>
      <c r="O206" t="n">
        <v>442</v>
      </c>
      <c r="P206">
        <f>MAX(O206,Settings!$B$13)*Settings!$B$7</f>
        <v/>
      </c>
      <c r="Q206">
        <f>MAX(O206,Settings!$B$13)*Settings!$B$8</f>
        <v/>
      </c>
      <c r="R206" s="4">
        <f>MAX(P206*Settings!$B$5,IF(ISNUMBER(Settings!$B$12),Settings!$B$12,0))*(1+IF(Settings!$B$11="Y",0,Settings!$B$10/100))+N(Settings!$B$9)</f>
        <v/>
      </c>
      <c r="S206" s="4">
        <f>IF(Q206&gt;1000,"beyond table",IFERROR(LOOKUP(Q206,'FOIS 145A'!$A$2:$A$22,'FOIS 145A'!$C$2:$C$22),""))</f>
        <v/>
      </c>
      <c r="T206" s="4">
        <f>IF(ISNUMBER(S206),S206*(1+IF(Settings!$B$11="Y",0,Settings!$B$10/100))+2*N(Settings!$B$9),"")</f>
        <v/>
      </c>
      <c r="U206">
        <f>IF(ISNUMBER(T206),IF(T206&lt;R206,"Rail","Road"),"")</f>
        <v/>
      </c>
      <c r="V206" s="4">
        <f>IF(ISNUMBER(T206),ABS(R206-T206),"")</f>
        <v/>
      </c>
      <c r="W206">
        <f>IF(OR(ISNUMBER(SEARCH("siding",D206)),ISNUMBER(SEARCH("rcr",D206)),ISNUMBER(SEARCH("rail",D206)),ISNUMBER(SEARCH("wagon",D206))),"Yes - siding/rail in title","Check")</f>
        <v/>
      </c>
      <c r="X206">
        <f>Settings!$B$6</f>
        <v/>
      </c>
    </row>
    <row r="207">
      <c r="A207" t="inlineStr">
        <is>
          <t>C 300-500 km</t>
        </is>
      </c>
      <c r="B207" t="inlineStr">
        <is>
          <t>18261397</t>
        </is>
      </c>
      <c r="C207" t="inlineStr">
        <is>
          <t>GEM/2026/B/7997430</t>
        </is>
      </c>
      <c r="D207" t="inlineStr">
        <is>
          <t>supply of - domestic coal for ntpc (q3) -  | quantity - 500000</t>
        </is>
      </c>
      <c r="E207" t="inlineStr">
        <is>
          <t>Coal supply</t>
        </is>
      </c>
      <c r="F207" t="inlineStr">
        <is>
          <t>National Thermal Power Corporation Limited</t>
        </is>
      </c>
      <c r="G207" t="inlineStr">
        <is>
          <t>Bihar</t>
        </is>
      </c>
      <c r="H207" t="inlineStr">
        <is>
          <t>Patna</t>
        </is>
      </c>
      <c r="I207" t="inlineStr">
        <is>
          <t>2026-09-09</t>
        </is>
      </c>
      <c r="J207" t="inlineStr">
        <is>
          <t>AOC</t>
        </is>
      </c>
      <c r="K207" t="inlineStr">
        <is>
          <t>Shri Harjika Enterprises</t>
        </is>
      </c>
      <c r="L207" t="inlineStr">
        <is>
          <t>Godavari Commodities, Mohit Minerals, Sangita Sales</t>
        </is>
      </c>
      <c r="M207" t="inlineStr">
        <is>
          <t>5 named / 8</t>
        </is>
      </c>
      <c r="N207" t="n">
        <v>255.98</v>
      </c>
      <c r="O207" t="n">
        <v>448</v>
      </c>
      <c r="P207">
        <f>MAX(O207,Settings!$B$13)*Settings!$B$7</f>
        <v/>
      </c>
      <c r="Q207">
        <f>MAX(O207,Settings!$B$13)*Settings!$B$8</f>
        <v/>
      </c>
      <c r="R207" s="4">
        <f>MAX(P207*Settings!$B$5,IF(ISNUMBER(Settings!$B$12),Settings!$B$12,0))*(1+IF(Settings!$B$11="Y",0,Settings!$B$10/100))+N(Settings!$B$9)</f>
        <v/>
      </c>
      <c r="S207" s="4">
        <f>IF(Q207&gt;1000,"beyond table",IFERROR(LOOKUP(Q207,'FOIS 145A'!$A$2:$A$22,'FOIS 145A'!$C$2:$C$22),""))</f>
        <v/>
      </c>
      <c r="T207" s="4">
        <f>IF(ISNUMBER(S207),S207*(1+IF(Settings!$B$11="Y",0,Settings!$B$10/100))+2*N(Settings!$B$9),"")</f>
        <v/>
      </c>
      <c r="U207">
        <f>IF(ISNUMBER(T207),IF(T207&lt;R207,"Rail","Road"),"")</f>
        <v/>
      </c>
      <c r="V207" s="4">
        <f>IF(ISNUMBER(T207),ABS(R207-T207),"")</f>
        <v/>
      </c>
      <c r="W207">
        <f>IF(OR(ISNUMBER(SEARCH("siding",D207)),ISNUMBER(SEARCH("rcr",D207)),ISNUMBER(SEARCH("rail",D207)),ISNUMBER(SEARCH("wagon",D207))),"Yes - siding/rail in title","Check")</f>
        <v/>
      </c>
      <c r="X207">
        <f>Settings!$B$6</f>
        <v/>
      </c>
    </row>
    <row r="208">
      <c r="A208" t="inlineStr">
        <is>
          <t>C 300-500 km</t>
        </is>
      </c>
      <c r="B208" t="inlineStr">
        <is>
          <t>18335538</t>
        </is>
      </c>
      <c r="C208" t="inlineStr">
        <is>
          <t>2026_NTPC_112148_1</t>
        </is>
      </c>
      <c r="D208" t="inlineStr">
        <is>
          <t xml:space="preserve">loading and transportation of 75000 mt coal from akk mines of ccl to nearby siding and unloading (nearby designated siding as per railways) </t>
        </is>
      </c>
      <c r="E208" t="inlineStr">
        <is>
          <t>Coal transport (RCR / siding)</t>
        </is>
      </c>
      <c r="F208" t="inlineStr">
        <is>
          <t>National Thermal Power Corporation Limited</t>
        </is>
      </c>
      <c r="G208" t="inlineStr">
        <is>
          <t>Bihar</t>
        </is>
      </c>
      <c r="H208" t="inlineStr">
        <is>
          <t>Patna</t>
        </is>
      </c>
      <c r="I208" t="inlineStr">
        <is>
          <t>2026-09-29</t>
        </is>
      </c>
      <c r="J208" t="inlineStr">
        <is>
          <t>Financial</t>
        </is>
      </c>
      <c r="K208" t="inlineStr">
        <is>
          <t>-</t>
        </is>
      </c>
      <c r="L208" t="inlineStr"/>
      <c r="M208" t="inlineStr">
        <is>
          <t>5 named / 17</t>
        </is>
      </c>
      <c r="O208" t="n">
        <v>448</v>
      </c>
      <c r="P208">
        <f>MAX(O208,Settings!$B$13)*Settings!$B$7</f>
        <v/>
      </c>
      <c r="Q208">
        <f>MAX(O208,Settings!$B$13)*Settings!$B$8</f>
        <v/>
      </c>
      <c r="R208" s="4">
        <f>MAX(P208*Settings!$B$5,IF(ISNUMBER(Settings!$B$12),Settings!$B$12,0))*(1+IF(Settings!$B$11="Y",0,Settings!$B$10/100))+N(Settings!$B$9)</f>
        <v/>
      </c>
      <c r="S208" s="4">
        <f>IF(Q208&gt;1000,"beyond table",IFERROR(LOOKUP(Q208,'FOIS 145A'!$A$2:$A$22,'FOIS 145A'!$C$2:$C$22),""))</f>
        <v/>
      </c>
      <c r="T208" s="4">
        <f>IF(ISNUMBER(S208),S208*(1+IF(Settings!$B$11="Y",0,Settings!$B$10/100))+2*N(Settings!$B$9),"")</f>
        <v/>
      </c>
      <c r="U208">
        <f>IF(ISNUMBER(T208),IF(T208&lt;R208,"Rail","Road"),"")</f>
        <v/>
      </c>
      <c r="V208" s="4">
        <f>IF(ISNUMBER(T208),ABS(R208-T208),"")</f>
        <v/>
      </c>
      <c r="W208">
        <f>IF(OR(ISNUMBER(SEARCH("siding",D208)),ISNUMBER(SEARCH("rcr",D208)),ISNUMBER(SEARCH("rail",D208)),ISNUMBER(SEARCH("wagon",D208))),"Yes - siding/rail in title","Check")</f>
        <v/>
      </c>
      <c r="X208">
        <f>Settings!$B$6</f>
        <v/>
      </c>
    </row>
    <row r="209">
      <c r="A209" t="inlineStr">
        <is>
          <t>C 300-500 km</t>
        </is>
      </c>
      <c r="B209" t="inlineStr">
        <is>
          <t>18208940</t>
        </is>
      </c>
      <c r="C209" t="inlineStr">
        <is>
          <t>2026_NTPC_111867_1</t>
        </is>
      </c>
      <c r="D209" t="inlineStr">
        <is>
          <t>loading and transportation of 32000mt coal from chandragupta area of ccl - loading and transportation of 32000mt coal from chandragupta area</t>
        </is>
      </c>
      <c r="E209" t="inlineStr">
        <is>
          <t>Coal transport (RCR / siding)</t>
        </is>
      </c>
      <c r="F209" t="inlineStr">
        <is>
          <t>National Thermal Power Corporation Limited</t>
        </is>
      </c>
      <c r="G209" t="inlineStr">
        <is>
          <t>Bihar</t>
        </is>
      </c>
      <c r="H209" t="inlineStr">
        <is>
          <t>Patna</t>
        </is>
      </c>
      <c r="I209" t="inlineStr">
        <is>
          <t>2026-09-14</t>
        </is>
      </c>
      <c r="J209" t="inlineStr">
        <is>
          <t>Financial</t>
        </is>
      </c>
      <c r="K209" t="inlineStr">
        <is>
          <t>-</t>
        </is>
      </c>
      <c r="L209" t="inlineStr">
        <is>
          <t>Godavari Commodities</t>
        </is>
      </c>
      <c r="M209" t="inlineStr">
        <is>
          <t>1 named / 1</t>
        </is>
      </c>
      <c r="O209" t="n">
        <v>448</v>
      </c>
      <c r="P209">
        <f>MAX(O209,Settings!$B$13)*Settings!$B$7</f>
        <v/>
      </c>
      <c r="Q209">
        <f>MAX(O209,Settings!$B$13)*Settings!$B$8</f>
        <v/>
      </c>
      <c r="R209" s="4">
        <f>MAX(P209*Settings!$B$5,IF(ISNUMBER(Settings!$B$12),Settings!$B$12,0))*(1+IF(Settings!$B$11="Y",0,Settings!$B$10/100))+N(Settings!$B$9)</f>
        <v/>
      </c>
      <c r="S209" s="4">
        <f>IF(Q209&gt;1000,"beyond table",IFERROR(LOOKUP(Q209,'FOIS 145A'!$A$2:$A$22,'FOIS 145A'!$C$2:$C$22),""))</f>
        <v/>
      </c>
      <c r="T209" s="4">
        <f>IF(ISNUMBER(S209),S209*(1+IF(Settings!$B$11="Y",0,Settings!$B$10/100))+2*N(Settings!$B$9),"")</f>
        <v/>
      </c>
      <c r="U209">
        <f>IF(ISNUMBER(T209),IF(T209&lt;R209,"Rail","Road"),"")</f>
        <v/>
      </c>
      <c r="V209" s="4">
        <f>IF(ISNUMBER(T209),ABS(R209-T209),"")</f>
        <v/>
      </c>
      <c r="W209">
        <f>IF(OR(ISNUMBER(SEARCH("siding",D209)),ISNUMBER(SEARCH("rcr",D209)),ISNUMBER(SEARCH("rail",D209)),ISNUMBER(SEARCH("wagon",D209))),"Yes - siding/rail in title","Check")</f>
        <v/>
      </c>
      <c r="X209">
        <f>Settings!$B$6</f>
        <v/>
      </c>
    </row>
    <row r="210">
      <c r="A210" t="inlineStr">
        <is>
          <t>C 300-500 km</t>
        </is>
      </c>
      <c r="B210" t="inlineStr">
        <is>
          <t>17929382</t>
        </is>
      </c>
      <c r="C210" t="inlineStr">
        <is>
          <t>GEM/2026/B/7629446</t>
        </is>
      </c>
      <c r="D210" t="inlineStr">
        <is>
          <t>supply of - domestic coal for ntpc (q3) -  | quantity - 500000</t>
        </is>
      </c>
      <c r="E210" t="inlineStr">
        <is>
          <t>Coal supply</t>
        </is>
      </c>
      <c r="F210" t="inlineStr">
        <is>
          <t>National Thermal Power Corporation Limited</t>
        </is>
      </c>
      <c r="G210" t="inlineStr">
        <is>
          <t>Madhya Pradesh</t>
        </is>
      </c>
      <c r="H210" t="inlineStr">
        <is>
          <t>Narsinghpur</t>
        </is>
      </c>
      <c r="I210" t="inlineStr">
        <is>
          <t>2026-07-06</t>
        </is>
      </c>
      <c r="J210" t="inlineStr">
        <is>
          <t>AOC</t>
        </is>
      </c>
      <c r="K210" t="inlineStr">
        <is>
          <t>Shri Harjika Enterprises, Tirupati Minerals Private Limited</t>
        </is>
      </c>
      <c r="L210" t="inlineStr">
        <is>
          <t>Godavari Commodities, Indermani / Indramani</t>
        </is>
      </c>
      <c r="M210" t="inlineStr">
        <is>
          <t>5 named / 11</t>
        </is>
      </c>
      <c r="N210" t="n">
        <v>245.72</v>
      </c>
      <c r="O210" t="n">
        <v>448</v>
      </c>
      <c r="P210">
        <f>MAX(O210,Settings!$B$13)*Settings!$B$7</f>
        <v/>
      </c>
      <c r="Q210">
        <f>MAX(O210,Settings!$B$13)*Settings!$B$8</f>
        <v/>
      </c>
      <c r="R210" s="4">
        <f>MAX(P210*Settings!$B$5,IF(ISNUMBER(Settings!$B$12),Settings!$B$12,0))*(1+IF(Settings!$B$11="Y",0,Settings!$B$10/100))+N(Settings!$B$9)</f>
        <v/>
      </c>
      <c r="S210" s="4">
        <f>IF(Q210&gt;1000,"beyond table",IFERROR(LOOKUP(Q210,'FOIS 145A'!$A$2:$A$22,'FOIS 145A'!$C$2:$C$22),""))</f>
        <v/>
      </c>
      <c r="T210" s="4">
        <f>IF(ISNUMBER(S210),S210*(1+IF(Settings!$B$11="Y",0,Settings!$B$10/100))+2*N(Settings!$B$9),"")</f>
        <v/>
      </c>
      <c r="U210">
        <f>IF(ISNUMBER(T210),IF(T210&lt;R210,"Rail","Road"),"")</f>
        <v/>
      </c>
      <c r="V210" s="4">
        <f>IF(ISNUMBER(T210),ABS(R210-T210),"")</f>
        <v/>
      </c>
      <c r="W210">
        <f>IF(OR(ISNUMBER(SEARCH("siding",D210)),ISNUMBER(SEARCH("rcr",D210)),ISNUMBER(SEARCH("rail",D210)),ISNUMBER(SEARCH("wagon",D210))),"Yes - siding/rail in title","Check")</f>
        <v/>
      </c>
      <c r="X210">
        <f>Settings!$B$6</f>
        <v/>
      </c>
    </row>
    <row r="211">
      <c r="A211" t="inlineStr">
        <is>
          <t>C 300-500 km</t>
        </is>
      </c>
      <c r="B211" t="inlineStr">
        <is>
          <t>18203732</t>
        </is>
      </c>
      <c r="C211" t="inlineStr">
        <is>
          <t>2026_NTPC_111865_1</t>
        </is>
      </c>
      <c r="D211" t="inlineStr">
        <is>
          <t>loading and transportation of coal from uk</t>
        </is>
      </c>
      <c r="E211" t="inlineStr">
        <is>
          <t>Coal transport (road)</t>
        </is>
      </c>
      <c r="F211" t="inlineStr">
        <is>
          <t>National Thermal Power Corporation Limited</t>
        </is>
      </c>
      <c r="G211" t="inlineStr">
        <is>
          <t>Madhya Pradesh</t>
        </is>
      </c>
      <c r="H211" t="inlineStr">
        <is>
          <t>Narsinghpur</t>
        </is>
      </c>
      <c r="I211" t="inlineStr">
        <is>
          <t>2026-09-14</t>
        </is>
      </c>
      <c r="J211" t="inlineStr">
        <is>
          <t>Financial</t>
        </is>
      </c>
      <c r="K211" t="inlineStr">
        <is>
          <t>-</t>
        </is>
      </c>
      <c r="L211" t="inlineStr">
        <is>
          <t>Vikas Coal and Minerals</t>
        </is>
      </c>
      <c r="M211" t="inlineStr">
        <is>
          <t>1 named / 1</t>
        </is>
      </c>
      <c r="O211" t="n">
        <v>448</v>
      </c>
      <c r="P211">
        <f>MAX(O211,Settings!$B$13)*Settings!$B$7</f>
        <v/>
      </c>
      <c r="Q211">
        <f>MAX(O211,Settings!$B$13)*Settings!$B$8</f>
        <v/>
      </c>
      <c r="R211" s="4">
        <f>MAX(P211*Settings!$B$5,IF(ISNUMBER(Settings!$B$12),Settings!$B$12,0))*(1+IF(Settings!$B$11="Y",0,Settings!$B$10/100))+N(Settings!$B$9)</f>
        <v/>
      </c>
      <c r="S211" s="4">
        <f>IF(Q211&gt;1000,"beyond table",IFERROR(LOOKUP(Q211,'FOIS 145A'!$A$2:$A$22,'FOIS 145A'!$C$2:$C$22),""))</f>
        <v/>
      </c>
      <c r="T211" s="4">
        <f>IF(ISNUMBER(S211),S211*(1+IF(Settings!$B$11="Y",0,Settings!$B$10/100))+2*N(Settings!$B$9),"")</f>
        <v/>
      </c>
      <c r="U211">
        <f>IF(ISNUMBER(T211),IF(T211&lt;R211,"Rail","Road"),"")</f>
        <v/>
      </c>
      <c r="V211" s="4">
        <f>IF(ISNUMBER(T211),ABS(R211-T211),"")</f>
        <v/>
      </c>
      <c r="W211">
        <f>IF(OR(ISNUMBER(SEARCH("siding",D211)),ISNUMBER(SEARCH("rcr",D211)),ISNUMBER(SEARCH("rail",D211)),ISNUMBER(SEARCH("wagon",D211))),"Yes - siding/rail in title","Check")</f>
        <v/>
      </c>
      <c r="X211">
        <f>Settings!$B$6</f>
        <v/>
      </c>
    </row>
    <row r="212">
      <c r="A212" t="inlineStr">
        <is>
          <t>C 300-500 km</t>
        </is>
      </c>
      <c r="B212" t="inlineStr">
        <is>
          <t>18382590</t>
        </is>
      </c>
      <c r="C212" t="inlineStr">
        <is>
          <t>GEM/2026/B/7977546</t>
        </is>
      </c>
      <c r="D212" t="inlineStr">
        <is>
          <t>supply of - domestic coal for ntpc (q3) -  | quantity - 500000</t>
        </is>
      </c>
      <c r="E212" t="inlineStr">
        <is>
          <t>Coal supply</t>
        </is>
      </c>
      <c r="F212" t="inlineStr">
        <is>
          <t>National Thermal Power Corporation Limited</t>
        </is>
      </c>
      <c r="G212" t="inlineStr">
        <is>
          <t>Maharashtra</t>
        </is>
      </c>
      <c r="H212" t="inlineStr">
        <is>
          <t>Nagpur</t>
        </is>
      </c>
      <c r="I212" t="inlineStr">
        <is>
          <t>2026-09-18</t>
        </is>
      </c>
      <c r="J212" t="inlineStr">
        <is>
          <t>Financial</t>
        </is>
      </c>
      <c r="K212" t="inlineStr">
        <is>
          <t>-</t>
        </is>
      </c>
      <c r="L212" t="inlineStr">
        <is>
          <t>Godavari Commodities</t>
        </is>
      </c>
      <c r="M212" t="inlineStr">
        <is>
          <t>5 named / 13</t>
        </is>
      </c>
      <c r="O212" t="n">
        <v>454</v>
      </c>
      <c r="P212">
        <f>MAX(O212,Settings!$B$13)*Settings!$B$7</f>
        <v/>
      </c>
      <c r="Q212">
        <f>MAX(O212,Settings!$B$13)*Settings!$B$8</f>
        <v/>
      </c>
      <c r="R212" s="4">
        <f>MAX(P212*Settings!$B$5,IF(ISNUMBER(Settings!$B$12),Settings!$B$12,0))*(1+IF(Settings!$B$11="Y",0,Settings!$B$10/100))+N(Settings!$B$9)</f>
        <v/>
      </c>
      <c r="S212" s="4">
        <f>IF(Q212&gt;1000,"beyond table",IFERROR(LOOKUP(Q212,'FOIS 145A'!$A$2:$A$22,'FOIS 145A'!$C$2:$C$22),""))</f>
        <v/>
      </c>
      <c r="T212" s="4">
        <f>IF(ISNUMBER(S212),S212*(1+IF(Settings!$B$11="Y",0,Settings!$B$10/100))+2*N(Settings!$B$9),"")</f>
        <v/>
      </c>
      <c r="U212">
        <f>IF(ISNUMBER(T212),IF(T212&lt;R212,"Rail","Road"),"")</f>
        <v/>
      </c>
      <c r="V212" s="4">
        <f>IF(ISNUMBER(T212),ABS(R212-T212),"")</f>
        <v/>
      </c>
      <c r="W212">
        <f>IF(OR(ISNUMBER(SEARCH("siding",D212)),ISNUMBER(SEARCH("rcr",D212)),ISNUMBER(SEARCH("rail",D212)),ISNUMBER(SEARCH("wagon",D212))),"Yes - siding/rail in title","Check")</f>
        <v/>
      </c>
      <c r="X212">
        <f>Settings!$B$6</f>
        <v/>
      </c>
    </row>
    <row r="213">
      <c r="A213" t="inlineStr">
        <is>
          <t>C 300-500 km</t>
        </is>
      </c>
      <c r="B213" t="inlineStr">
        <is>
          <t>15458854</t>
        </is>
      </c>
      <c r="C213" t="inlineStr">
        <is>
          <t>2025_MSMC_1208841_1</t>
        </is>
      </c>
      <c r="D213" t="inlineStr">
        <is>
          <t>lifting and beneficiation of rom coal quantity of 3 mmtpa (2 to 2.5 lakhs tonnes per month) from secl command area and supply of beneficiate</t>
        </is>
      </c>
      <c r="E213" t="inlineStr">
        <is>
          <t>Coal supply</t>
        </is>
      </c>
      <c r="F213" t="inlineStr">
        <is>
          <t>Maharashtra State Mining Corporation Limited</t>
        </is>
      </c>
      <c r="G213" t="inlineStr">
        <is>
          <t>Maharashtra</t>
        </is>
      </c>
      <c r="H213" t="inlineStr">
        <is>
          <t>Nagpur</t>
        </is>
      </c>
      <c r="I213" t="inlineStr">
        <is>
          <t>2025-09-20</t>
        </is>
      </c>
      <c r="J213" t="inlineStr">
        <is>
          <t>Technical</t>
        </is>
      </c>
      <c r="K213" t="inlineStr">
        <is>
          <t>-</t>
        </is>
      </c>
      <c r="L213" t="inlineStr"/>
      <c r="M213" t="inlineStr">
        <is>
          <t>5 named / 6</t>
        </is>
      </c>
      <c r="O213" t="n">
        <v>454</v>
      </c>
      <c r="P213">
        <f>MAX(O213,Settings!$B$13)*Settings!$B$7</f>
        <v/>
      </c>
      <c r="Q213">
        <f>MAX(O213,Settings!$B$13)*Settings!$B$8</f>
        <v/>
      </c>
      <c r="R213" s="4">
        <f>MAX(P213*Settings!$B$5,IF(ISNUMBER(Settings!$B$12),Settings!$B$12,0))*(1+IF(Settings!$B$11="Y",0,Settings!$B$10/100))+N(Settings!$B$9)</f>
        <v/>
      </c>
      <c r="S213" s="4">
        <f>IF(Q213&gt;1000,"beyond table",IFERROR(LOOKUP(Q213,'FOIS 145A'!$A$2:$A$22,'FOIS 145A'!$C$2:$C$22),""))</f>
        <v/>
      </c>
      <c r="T213" s="4">
        <f>IF(ISNUMBER(S213),S213*(1+IF(Settings!$B$11="Y",0,Settings!$B$10/100))+2*N(Settings!$B$9),"")</f>
        <v/>
      </c>
      <c r="U213">
        <f>IF(ISNUMBER(T213),IF(T213&lt;R213,"Rail","Road"),"")</f>
        <v/>
      </c>
      <c r="V213" s="4">
        <f>IF(ISNUMBER(T213),ABS(R213-T213),"")</f>
        <v/>
      </c>
      <c r="W213">
        <f>IF(OR(ISNUMBER(SEARCH("siding",D213)),ISNUMBER(SEARCH("rcr",D213)),ISNUMBER(SEARCH("rail",D213)),ISNUMBER(SEARCH("wagon",D213))),"Yes - siding/rail in title","Check")</f>
        <v/>
      </c>
      <c r="X213">
        <f>Settings!$B$6</f>
        <v/>
      </c>
    </row>
    <row r="214">
      <c r="A214" t="inlineStr">
        <is>
          <t>C 300-500 km</t>
        </is>
      </c>
      <c r="B214" t="inlineStr">
        <is>
          <t>17443287</t>
        </is>
      </c>
      <c r="C214" t="inlineStr">
        <is>
          <t>GEM/2026/B/7408271</t>
        </is>
      </c>
      <c r="D214" t="inlineStr">
        <is>
          <t>handling &amp; transport service, crushing, loading and transportation of coal from singori ocm to saoner siding of nagpur area</t>
        </is>
      </c>
      <c r="E214" t="inlineStr">
        <is>
          <t>Coal transport (RCR / siding)</t>
        </is>
      </c>
      <c r="F214" t="inlineStr">
        <is>
          <t>Western Coalfields Limited</t>
        </is>
      </c>
      <c r="G214" t="inlineStr">
        <is>
          <t>Maharashtra</t>
        </is>
      </c>
      <c r="H214" t="inlineStr">
        <is>
          <t>Nagpur</t>
        </is>
      </c>
      <c r="I214" t="inlineStr">
        <is>
          <t>2026-04-20</t>
        </is>
      </c>
      <c r="J214" t="inlineStr">
        <is>
          <t>AOC</t>
        </is>
      </c>
      <c r="K214" t="inlineStr">
        <is>
          <t>Orbit Corporation</t>
        </is>
      </c>
      <c r="L214" t="inlineStr"/>
      <c r="M214" t="inlineStr">
        <is>
          <t>5 named / 15</t>
        </is>
      </c>
      <c r="N214" t="n">
        <v>83.22</v>
      </c>
      <c r="O214" t="n">
        <v>454</v>
      </c>
      <c r="P214">
        <f>MAX(O214,Settings!$B$13)*Settings!$B$7</f>
        <v/>
      </c>
      <c r="Q214">
        <f>MAX(O214,Settings!$B$13)*Settings!$B$8</f>
        <v/>
      </c>
      <c r="R214" s="4">
        <f>MAX(P214*Settings!$B$5,IF(ISNUMBER(Settings!$B$12),Settings!$B$12,0))*(1+IF(Settings!$B$11="Y",0,Settings!$B$10/100))+N(Settings!$B$9)</f>
        <v/>
      </c>
      <c r="S214" s="4">
        <f>IF(Q214&gt;1000,"beyond table",IFERROR(LOOKUP(Q214,'FOIS 145A'!$A$2:$A$22,'FOIS 145A'!$C$2:$C$22),""))</f>
        <v/>
      </c>
      <c r="T214" s="4">
        <f>IF(ISNUMBER(S214),S214*(1+IF(Settings!$B$11="Y",0,Settings!$B$10/100))+2*N(Settings!$B$9),"")</f>
        <v/>
      </c>
      <c r="U214">
        <f>IF(ISNUMBER(T214),IF(T214&lt;R214,"Rail","Road"),"")</f>
        <v/>
      </c>
      <c r="V214" s="4">
        <f>IF(ISNUMBER(T214),ABS(R214-T214),"")</f>
        <v/>
      </c>
      <c r="W214">
        <f>IF(OR(ISNUMBER(SEARCH("siding",D214)),ISNUMBER(SEARCH("rcr",D214)),ISNUMBER(SEARCH("rail",D214)),ISNUMBER(SEARCH("wagon",D214))),"Yes - siding/rail in title","Check")</f>
        <v/>
      </c>
      <c r="X214">
        <f>Settings!$B$6</f>
        <v/>
      </c>
    </row>
    <row r="215">
      <c r="A215" t="inlineStr">
        <is>
          <t>C 300-500 km</t>
        </is>
      </c>
      <c r="B215" t="inlineStr">
        <is>
          <t>16990555</t>
        </is>
      </c>
      <c r="C215" t="inlineStr">
        <is>
          <t>GEM/2026/B/7397675</t>
        </is>
      </c>
      <c r="D215" t="inlineStr">
        <is>
          <t>handling &amp; transport service, transportation of crushed coal to umrer siding at mkd-i ocm of umrer area</t>
        </is>
      </c>
      <c r="E215" t="inlineStr">
        <is>
          <t>Coal transport (RCR / siding)</t>
        </is>
      </c>
      <c r="F215" t="inlineStr">
        <is>
          <t>Western Coalfields Limited</t>
        </is>
      </c>
      <c r="G215" t="inlineStr">
        <is>
          <t>Maharashtra</t>
        </is>
      </c>
      <c r="H215" t="inlineStr">
        <is>
          <t>Nagpur</t>
        </is>
      </c>
      <c r="I215" t="inlineStr">
        <is>
          <t>2026-04-13</t>
        </is>
      </c>
      <c r="J215" t="inlineStr">
        <is>
          <t>Financial</t>
        </is>
      </c>
      <c r="K215" t="inlineStr">
        <is>
          <t>-</t>
        </is>
      </c>
      <c r="L215" t="inlineStr">
        <is>
          <t>Saikrupa Coal Supplier</t>
        </is>
      </c>
      <c r="M215" t="inlineStr">
        <is>
          <t>4 named / 4</t>
        </is>
      </c>
      <c r="O215" t="n">
        <v>454</v>
      </c>
      <c r="P215">
        <f>MAX(O215,Settings!$B$13)*Settings!$B$7</f>
        <v/>
      </c>
      <c r="Q215">
        <f>MAX(O215,Settings!$B$13)*Settings!$B$8</f>
        <v/>
      </c>
      <c r="R215" s="4">
        <f>MAX(P215*Settings!$B$5,IF(ISNUMBER(Settings!$B$12),Settings!$B$12,0))*(1+IF(Settings!$B$11="Y",0,Settings!$B$10/100))+N(Settings!$B$9)</f>
        <v/>
      </c>
      <c r="S215" s="4">
        <f>IF(Q215&gt;1000,"beyond table",IFERROR(LOOKUP(Q215,'FOIS 145A'!$A$2:$A$22,'FOIS 145A'!$C$2:$C$22),""))</f>
        <v/>
      </c>
      <c r="T215" s="4">
        <f>IF(ISNUMBER(S215),S215*(1+IF(Settings!$B$11="Y",0,Settings!$B$10/100))+2*N(Settings!$B$9),"")</f>
        <v/>
      </c>
      <c r="U215">
        <f>IF(ISNUMBER(T215),IF(T215&lt;R215,"Rail","Road"),"")</f>
        <v/>
      </c>
      <c r="V215" s="4">
        <f>IF(ISNUMBER(T215),ABS(R215-T215),"")</f>
        <v/>
      </c>
      <c r="W215">
        <f>IF(OR(ISNUMBER(SEARCH("siding",D215)),ISNUMBER(SEARCH("rcr",D215)),ISNUMBER(SEARCH("rail",D215)),ISNUMBER(SEARCH("wagon",D215))),"Yes - siding/rail in title","Check")</f>
        <v/>
      </c>
      <c r="X215">
        <f>Settings!$B$6</f>
        <v/>
      </c>
    </row>
    <row r="216">
      <c r="A216" t="inlineStr">
        <is>
          <t>C 300-500 km</t>
        </is>
      </c>
      <c r="B216" t="inlineStr">
        <is>
          <t>14761268</t>
        </is>
      </c>
      <c r="C216" t="inlineStr">
        <is>
          <t>2025_NTPC_98502_1</t>
        </is>
      </c>
      <c r="D216" t="inlineStr">
        <is>
          <t>coal transportation (20 lmt) from talaipalli mines to mouda stps under rcr mode via korichhapar siding</t>
        </is>
      </c>
      <c r="E216" t="inlineStr">
        <is>
          <t>Coal transport (RCR / siding)</t>
        </is>
      </c>
      <c r="F216" t="inlineStr">
        <is>
          <t>National Thermal Power Corporation Limited</t>
        </is>
      </c>
      <c r="G216" t="inlineStr">
        <is>
          <t>Maharashtra</t>
        </is>
      </c>
      <c r="H216" t="inlineStr">
        <is>
          <t>Nagpur</t>
        </is>
      </c>
      <c r="I216" t="inlineStr">
        <is>
          <t>2025-08-01</t>
        </is>
      </c>
      <c r="J216" t="inlineStr">
        <is>
          <t>Financial</t>
        </is>
      </c>
      <c r="K216" t="inlineStr">
        <is>
          <t>-</t>
        </is>
      </c>
      <c r="L216" t="inlineStr">
        <is>
          <t>Anoop Road Carriers, Godavari Commodities, Indermani / Indramani</t>
        </is>
      </c>
      <c r="M216" t="inlineStr">
        <is>
          <t>5 named / 20</t>
        </is>
      </c>
      <c r="O216" t="n">
        <v>454</v>
      </c>
      <c r="P216">
        <f>MAX(O216,Settings!$B$13)*Settings!$B$7</f>
        <v/>
      </c>
      <c r="Q216">
        <f>MAX(O216,Settings!$B$13)*Settings!$B$8</f>
        <v/>
      </c>
      <c r="R216" s="4">
        <f>MAX(P216*Settings!$B$5,IF(ISNUMBER(Settings!$B$12),Settings!$B$12,0))*(1+IF(Settings!$B$11="Y",0,Settings!$B$10/100))+N(Settings!$B$9)</f>
        <v/>
      </c>
      <c r="S216" s="4">
        <f>IF(Q216&gt;1000,"beyond table",IFERROR(LOOKUP(Q216,'FOIS 145A'!$A$2:$A$22,'FOIS 145A'!$C$2:$C$22),""))</f>
        <v/>
      </c>
      <c r="T216" s="4">
        <f>IF(ISNUMBER(S216),S216*(1+IF(Settings!$B$11="Y",0,Settings!$B$10/100))+2*N(Settings!$B$9),"")</f>
        <v/>
      </c>
      <c r="U216">
        <f>IF(ISNUMBER(T216),IF(T216&lt;R216,"Rail","Road"),"")</f>
        <v/>
      </c>
      <c r="V216" s="4">
        <f>IF(ISNUMBER(T216),ABS(R216-T216),"")</f>
        <v/>
      </c>
      <c r="W216">
        <f>IF(OR(ISNUMBER(SEARCH("siding",D216)),ISNUMBER(SEARCH("rcr",D216)),ISNUMBER(SEARCH("rail",D216)),ISNUMBER(SEARCH("wagon",D216))),"Yes - siding/rail in title","Check")</f>
        <v/>
      </c>
      <c r="X216">
        <f>Settings!$B$6</f>
        <v/>
      </c>
    </row>
    <row r="217">
      <c r="A217" t="inlineStr">
        <is>
          <t>C 300-500 km</t>
        </is>
      </c>
      <c r="B217" t="inlineStr">
        <is>
          <t>18312061</t>
        </is>
      </c>
      <c r="C217" t="inlineStr">
        <is>
          <t>GEM/2026/B/7894662</t>
        </is>
      </c>
      <c r="D217" t="inlineStr">
        <is>
          <t>handling &amp; transport service, crushing of coal by deployment of hired fully mobile crusher and transportation of coal at makardhokda-i ocm o</t>
        </is>
      </c>
      <c r="E217" t="inlineStr">
        <is>
          <t>Coal transport (road)</t>
        </is>
      </c>
      <c r="F217" t="inlineStr">
        <is>
          <t>Western Coalfields Limited</t>
        </is>
      </c>
      <c r="G217" t="inlineStr">
        <is>
          <t>Maharashtra</t>
        </is>
      </c>
      <c r="H217" t="inlineStr">
        <is>
          <t>Nagpur</t>
        </is>
      </c>
      <c r="I217" t="inlineStr">
        <is>
          <t>2026-08-24</t>
        </is>
      </c>
      <c r="J217" t="inlineStr">
        <is>
          <t>Financial</t>
        </is>
      </c>
      <c r="K217" t="inlineStr">
        <is>
          <t>-</t>
        </is>
      </c>
      <c r="L217" t="inlineStr"/>
      <c r="M217" t="inlineStr">
        <is>
          <t>5 named / 14</t>
        </is>
      </c>
      <c r="O217" t="n">
        <v>454</v>
      </c>
      <c r="P217">
        <f>MAX(O217,Settings!$B$13)*Settings!$B$7</f>
        <v/>
      </c>
      <c r="Q217">
        <f>MAX(O217,Settings!$B$13)*Settings!$B$8</f>
        <v/>
      </c>
      <c r="R217" s="4">
        <f>MAX(P217*Settings!$B$5,IF(ISNUMBER(Settings!$B$12),Settings!$B$12,0))*(1+IF(Settings!$B$11="Y",0,Settings!$B$10/100))+N(Settings!$B$9)</f>
        <v/>
      </c>
      <c r="S217" s="4">
        <f>IF(Q217&gt;1000,"beyond table",IFERROR(LOOKUP(Q217,'FOIS 145A'!$A$2:$A$22,'FOIS 145A'!$C$2:$C$22),""))</f>
        <v/>
      </c>
      <c r="T217" s="4">
        <f>IF(ISNUMBER(S217),S217*(1+IF(Settings!$B$11="Y",0,Settings!$B$10/100))+2*N(Settings!$B$9),"")</f>
        <v/>
      </c>
      <c r="U217">
        <f>IF(ISNUMBER(T217),IF(T217&lt;R217,"Rail","Road"),"")</f>
        <v/>
      </c>
      <c r="V217" s="4">
        <f>IF(ISNUMBER(T217),ABS(R217-T217),"")</f>
        <v/>
      </c>
      <c r="W217">
        <f>IF(OR(ISNUMBER(SEARCH("siding",D217)),ISNUMBER(SEARCH("rcr",D217)),ISNUMBER(SEARCH("rail",D217)),ISNUMBER(SEARCH("wagon",D217))),"Yes - siding/rail in title","Check")</f>
        <v/>
      </c>
      <c r="X217">
        <f>Settings!$B$6</f>
        <v/>
      </c>
    </row>
    <row r="218">
      <c r="A218" t="inlineStr">
        <is>
          <t>C 300-500 km</t>
        </is>
      </c>
      <c r="B218" t="inlineStr">
        <is>
          <t>17778836</t>
        </is>
      </c>
      <c r="C218" t="inlineStr">
        <is>
          <t>GEM/2026/B/7742999</t>
        </is>
      </c>
      <c r="D218" t="inlineStr">
        <is>
          <t>handling &amp; transport service, loading and transportation of rom coal and crushed coal at mkd-iii ocm of umrer area rs 17306625</t>
        </is>
      </c>
      <c r="E218" t="inlineStr">
        <is>
          <t>Coal transport (road)</t>
        </is>
      </c>
      <c r="F218" t="inlineStr">
        <is>
          <t>Western Coalfields Limited</t>
        </is>
      </c>
      <c r="G218" t="inlineStr">
        <is>
          <t>Maharashtra</t>
        </is>
      </c>
      <c r="H218" t="inlineStr">
        <is>
          <t>Nagpur</t>
        </is>
      </c>
      <c r="I218" t="inlineStr">
        <is>
          <t>2026-07-22</t>
        </is>
      </c>
      <c r="J218" t="inlineStr">
        <is>
          <t>AOC</t>
        </is>
      </c>
      <c r="K218" t="inlineStr">
        <is>
          <t>Kaushal Singh Transport Company</t>
        </is>
      </c>
      <c r="L218" t="inlineStr">
        <is>
          <t>Saikrupa Coal Supplier</t>
        </is>
      </c>
      <c r="M218" t="inlineStr">
        <is>
          <t>2 named / 2</t>
        </is>
      </c>
      <c r="N218" t="n">
        <v>1.8</v>
      </c>
      <c r="O218" t="n">
        <v>454</v>
      </c>
      <c r="P218">
        <f>MAX(O218,Settings!$B$13)*Settings!$B$7</f>
        <v/>
      </c>
      <c r="Q218">
        <f>MAX(O218,Settings!$B$13)*Settings!$B$8</f>
        <v/>
      </c>
      <c r="R218" s="4">
        <f>MAX(P218*Settings!$B$5,IF(ISNUMBER(Settings!$B$12),Settings!$B$12,0))*(1+IF(Settings!$B$11="Y",0,Settings!$B$10/100))+N(Settings!$B$9)</f>
        <v/>
      </c>
      <c r="S218" s="4">
        <f>IF(Q218&gt;1000,"beyond table",IFERROR(LOOKUP(Q218,'FOIS 145A'!$A$2:$A$22,'FOIS 145A'!$C$2:$C$22),""))</f>
        <v/>
      </c>
      <c r="T218" s="4">
        <f>IF(ISNUMBER(S218),S218*(1+IF(Settings!$B$11="Y",0,Settings!$B$10/100))+2*N(Settings!$B$9),"")</f>
        <v/>
      </c>
      <c r="U218">
        <f>IF(ISNUMBER(T218),IF(T218&lt;R218,"Rail","Road"),"")</f>
        <v/>
      </c>
      <c r="V218" s="4">
        <f>IF(ISNUMBER(T218),ABS(R218-T218),"")</f>
        <v/>
      </c>
      <c r="W218">
        <f>IF(OR(ISNUMBER(SEARCH("siding",D218)),ISNUMBER(SEARCH("rcr",D218)),ISNUMBER(SEARCH("rail",D218)),ISNUMBER(SEARCH("wagon",D218))),"Yes - siding/rail in title","Check")</f>
        <v/>
      </c>
      <c r="X218">
        <f>Settings!$B$6</f>
        <v/>
      </c>
    </row>
    <row r="219">
      <c r="A219" t="inlineStr">
        <is>
          <t>C 300-500 km</t>
        </is>
      </c>
      <c r="B219" t="inlineStr">
        <is>
          <t>17524535</t>
        </is>
      </c>
      <c r="C219" t="inlineStr">
        <is>
          <t>GEM/2026/B/7509823</t>
        </is>
      </c>
      <c r="D219" t="inlineStr">
        <is>
          <t>handling &amp; transport service, crushing, loading &amp; transportation of coal at adasa ug to oc mine of nagpur area</t>
        </is>
      </c>
      <c r="E219" t="inlineStr">
        <is>
          <t>Coal transport (road)</t>
        </is>
      </c>
      <c r="F219" t="inlineStr">
        <is>
          <t>Western Coalfields Limited</t>
        </is>
      </c>
      <c r="G219" t="inlineStr">
        <is>
          <t>Maharashtra</t>
        </is>
      </c>
      <c r="H219" t="inlineStr">
        <is>
          <t>Nagpur</t>
        </is>
      </c>
      <c r="I219" t="inlineStr">
        <is>
          <t>2026-05-21</t>
        </is>
      </c>
      <c r="J219" t="inlineStr">
        <is>
          <t>AOC</t>
        </is>
      </c>
      <c r="K219" t="inlineStr">
        <is>
          <t>D D G Associates Private Limited</t>
        </is>
      </c>
      <c r="L219" t="inlineStr"/>
      <c r="M219" t="inlineStr">
        <is>
          <t>5 named / 15</t>
        </is>
      </c>
      <c r="N219" t="n">
        <v>34.73</v>
      </c>
      <c r="O219" t="n">
        <v>454</v>
      </c>
      <c r="P219">
        <f>MAX(O219,Settings!$B$13)*Settings!$B$7</f>
        <v/>
      </c>
      <c r="Q219">
        <f>MAX(O219,Settings!$B$13)*Settings!$B$8</f>
        <v/>
      </c>
      <c r="R219" s="4">
        <f>MAX(P219*Settings!$B$5,IF(ISNUMBER(Settings!$B$12),Settings!$B$12,0))*(1+IF(Settings!$B$11="Y",0,Settings!$B$10/100))+N(Settings!$B$9)</f>
        <v/>
      </c>
      <c r="S219" s="4">
        <f>IF(Q219&gt;1000,"beyond table",IFERROR(LOOKUP(Q219,'FOIS 145A'!$A$2:$A$22,'FOIS 145A'!$C$2:$C$22),""))</f>
        <v/>
      </c>
      <c r="T219" s="4">
        <f>IF(ISNUMBER(S219),S219*(1+IF(Settings!$B$11="Y",0,Settings!$B$10/100))+2*N(Settings!$B$9),"")</f>
        <v/>
      </c>
      <c r="U219">
        <f>IF(ISNUMBER(T219),IF(T219&lt;R219,"Rail","Road"),"")</f>
        <v/>
      </c>
      <c r="V219" s="4">
        <f>IF(ISNUMBER(T219),ABS(R219-T219),"")</f>
        <v/>
      </c>
      <c r="W219">
        <f>IF(OR(ISNUMBER(SEARCH("siding",D219)),ISNUMBER(SEARCH("rcr",D219)),ISNUMBER(SEARCH("rail",D219)),ISNUMBER(SEARCH("wagon",D219))),"Yes - siding/rail in title","Check")</f>
        <v/>
      </c>
      <c r="X219">
        <f>Settings!$B$6</f>
        <v/>
      </c>
    </row>
    <row r="220">
      <c r="A220" t="inlineStr">
        <is>
          <t>C 300-500 km</t>
        </is>
      </c>
      <c r="B220" t="inlineStr">
        <is>
          <t>17488782</t>
        </is>
      </c>
      <c r="C220" t="inlineStr">
        <is>
          <t>GEM/2026/B/7443427</t>
        </is>
      </c>
      <c r="D220" t="inlineStr">
        <is>
          <t>handling &amp; transport service, crushing, loading and transportation of coal at gokul ocm of umrer area</t>
        </is>
      </c>
      <c r="E220" t="inlineStr">
        <is>
          <t>Coal transport (road)</t>
        </is>
      </c>
      <c r="F220" t="inlineStr">
        <is>
          <t>Western Coalfields Limited</t>
        </is>
      </c>
      <c r="G220" t="inlineStr">
        <is>
          <t>Maharashtra</t>
        </is>
      </c>
      <c r="H220" t="inlineStr">
        <is>
          <t>Nagpur</t>
        </is>
      </c>
      <c r="I220" t="inlineStr">
        <is>
          <t>2026-04-30</t>
        </is>
      </c>
      <c r="J220" t="inlineStr">
        <is>
          <t>AOC</t>
        </is>
      </c>
      <c r="K220" t="inlineStr">
        <is>
          <t>Kvrr Infrastructure Private Limited</t>
        </is>
      </c>
      <c r="L220" t="inlineStr"/>
      <c r="M220" t="inlineStr">
        <is>
          <t>5 named / 16</t>
        </is>
      </c>
      <c r="N220" t="n">
        <v>306.35</v>
      </c>
      <c r="O220" t="n">
        <v>454</v>
      </c>
      <c r="P220">
        <f>MAX(O220,Settings!$B$13)*Settings!$B$7</f>
        <v/>
      </c>
      <c r="Q220">
        <f>MAX(O220,Settings!$B$13)*Settings!$B$8</f>
        <v/>
      </c>
      <c r="R220" s="4">
        <f>MAX(P220*Settings!$B$5,IF(ISNUMBER(Settings!$B$12),Settings!$B$12,0))*(1+IF(Settings!$B$11="Y",0,Settings!$B$10/100))+N(Settings!$B$9)</f>
        <v/>
      </c>
      <c r="S220" s="4">
        <f>IF(Q220&gt;1000,"beyond table",IFERROR(LOOKUP(Q220,'FOIS 145A'!$A$2:$A$22,'FOIS 145A'!$C$2:$C$22),""))</f>
        <v/>
      </c>
      <c r="T220" s="4">
        <f>IF(ISNUMBER(S220),S220*(1+IF(Settings!$B$11="Y",0,Settings!$B$10/100))+2*N(Settings!$B$9),"")</f>
        <v/>
      </c>
      <c r="U220">
        <f>IF(ISNUMBER(T220),IF(T220&lt;R220,"Rail","Road"),"")</f>
        <v/>
      </c>
      <c r="V220" s="4">
        <f>IF(ISNUMBER(T220),ABS(R220-T220),"")</f>
        <v/>
      </c>
      <c r="W220">
        <f>IF(OR(ISNUMBER(SEARCH("siding",D220)),ISNUMBER(SEARCH("rcr",D220)),ISNUMBER(SEARCH("rail",D220)),ISNUMBER(SEARCH("wagon",D220))),"Yes - siding/rail in title","Check")</f>
        <v/>
      </c>
      <c r="X220">
        <f>Settings!$B$6</f>
        <v/>
      </c>
    </row>
    <row r="221">
      <c r="A221" t="inlineStr">
        <is>
          <t>C 300-500 km</t>
        </is>
      </c>
      <c r="B221" t="inlineStr">
        <is>
          <t>17065943</t>
        </is>
      </c>
      <c r="C221" t="inlineStr">
        <is>
          <t>GEM/2026/B/7411663</t>
        </is>
      </c>
      <c r="D221" t="inlineStr">
        <is>
          <t>handling &amp; transport service, loading of crushed coal into tippers and transportation of the same of semi mobile crusher of skm cursher at m</t>
        </is>
      </c>
      <c r="E221" t="inlineStr">
        <is>
          <t>Coal transport (road)</t>
        </is>
      </c>
      <c r="F221" t="inlineStr">
        <is>
          <t>Western Coalfields Limited</t>
        </is>
      </c>
      <c r="G221" t="inlineStr">
        <is>
          <t>Maharashtra</t>
        </is>
      </c>
      <c r="H221" t="inlineStr">
        <is>
          <t>Nagpur</t>
        </is>
      </c>
      <c r="I221" t="inlineStr">
        <is>
          <t>2026-04-17</t>
        </is>
      </c>
      <c r="J221" t="inlineStr">
        <is>
          <t>Financial</t>
        </is>
      </c>
      <c r="K221" t="inlineStr">
        <is>
          <t>-</t>
        </is>
      </c>
      <c r="L221" t="inlineStr">
        <is>
          <t>Saikrupa Coal Supplier</t>
        </is>
      </c>
      <c r="M221" t="inlineStr">
        <is>
          <t>4 named / 4</t>
        </is>
      </c>
      <c r="O221" t="n">
        <v>454</v>
      </c>
      <c r="P221">
        <f>MAX(O221,Settings!$B$13)*Settings!$B$7</f>
        <v/>
      </c>
      <c r="Q221">
        <f>MAX(O221,Settings!$B$13)*Settings!$B$8</f>
        <v/>
      </c>
      <c r="R221" s="4">
        <f>MAX(P221*Settings!$B$5,IF(ISNUMBER(Settings!$B$12),Settings!$B$12,0))*(1+IF(Settings!$B$11="Y",0,Settings!$B$10/100))+N(Settings!$B$9)</f>
        <v/>
      </c>
      <c r="S221" s="4">
        <f>IF(Q221&gt;1000,"beyond table",IFERROR(LOOKUP(Q221,'FOIS 145A'!$A$2:$A$22,'FOIS 145A'!$C$2:$C$22),""))</f>
        <v/>
      </c>
      <c r="T221" s="4">
        <f>IF(ISNUMBER(S221),S221*(1+IF(Settings!$B$11="Y",0,Settings!$B$10/100))+2*N(Settings!$B$9),"")</f>
        <v/>
      </c>
      <c r="U221">
        <f>IF(ISNUMBER(T221),IF(T221&lt;R221,"Rail","Road"),"")</f>
        <v/>
      </c>
      <c r="V221" s="4">
        <f>IF(ISNUMBER(T221),ABS(R221-T221),"")</f>
        <v/>
      </c>
      <c r="W221">
        <f>IF(OR(ISNUMBER(SEARCH("siding",D221)),ISNUMBER(SEARCH("rcr",D221)),ISNUMBER(SEARCH("rail",D221)),ISNUMBER(SEARCH("wagon",D221))),"Yes - siding/rail in title","Check")</f>
        <v/>
      </c>
      <c r="X221">
        <f>Settings!$B$6</f>
        <v/>
      </c>
    </row>
    <row r="222">
      <c r="A222" t="inlineStr">
        <is>
          <t>C 300-500 km</t>
        </is>
      </c>
      <c r="B222" t="inlineStr">
        <is>
          <t>16688466</t>
        </is>
      </c>
      <c r="C222" t="inlineStr">
        <is>
          <t>GEM/2026/B/7235250</t>
        </is>
      </c>
      <c r="D222" t="inlineStr">
        <is>
          <t>transport service, 13297568 transportation of rom coal from coal stock yard heap no. 1 at gokul ocm</t>
        </is>
      </c>
      <c r="E222" t="inlineStr">
        <is>
          <t>Coal transport (road)</t>
        </is>
      </c>
      <c r="F222" t="inlineStr">
        <is>
          <t>Western Coalfields Limited</t>
        </is>
      </c>
      <c r="G222" t="inlineStr">
        <is>
          <t>Maharashtra</t>
        </is>
      </c>
      <c r="H222" t="inlineStr">
        <is>
          <t>Nagpur</t>
        </is>
      </c>
      <c r="I222" t="inlineStr">
        <is>
          <t>2026-03-04</t>
        </is>
      </c>
      <c r="J222" t="inlineStr">
        <is>
          <t>Financial</t>
        </is>
      </c>
      <c r="K222" t="inlineStr">
        <is>
          <t>-</t>
        </is>
      </c>
      <c r="L222" t="inlineStr">
        <is>
          <t>Saikrupa Coal Supplier</t>
        </is>
      </c>
      <c r="M222" t="inlineStr">
        <is>
          <t>3 named / 3</t>
        </is>
      </c>
      <c r="O222" t="n">
        <v>454</v>
      </c>
      <c r="P222">
        <f>MAX(O222,Settings!$B$13)*Settings!$B$7</f>
        <v/>
      </c>
      <c r="Q222">
        <f>MAX(O222,Settings!$B$13)*Settings!$B$8</f>
        <v/>
      </c>
      <c r="R222" s="4">
        <f>MAX(P222*Settings!$B$5,IF(ISNUMBER(Settings!$B$12),Settings!$B$12,0))*(1+IF(Settings!$B$11="Y",0,Settings!$B$10/100))+N(Settings!$B$9)</f>
        <v/>
      </c>
      <c r="S222" s="4">
        <f>IF(Q222&gt;1000,"beyond table",IFERROR(LOOKUP(Q222,'FOIS 145A'!$A$2:$A$22,'FOIS 145A'!$C$2:$C$22),""))</f>
        <v/>
      </c>
      <c r="T222" s="4">
        <f>IF(ISNUMBER(S222),S222*(1+IF(Settings!$B$11="Y",0,Settings!$B$10/100))+2*N(Settings!$B$9),"")</f>
        <v/>
      </c>
      <c r="U222">
        <f>IF(ISNUMBER(T222),IF(T222&lt;R222,"Rail","Road"),"")</f>
        <v/>
      </c>
      <c r="V222" s="4">
        <f>IF(ISNUMBER(T222),ABS(R222-T222),"")</f>
        <v/>
      </c>
      <c r="W222">
        <f>IF(OR(ISNUMBER(SEARCH("siding",D222)),ISNUMBER(SEARCH("rcr",D222)),ISNUMBER(SEARCH("rail",D222)),ISNUMBER(SEARCH("wagon",D222))),"Yes - siding/rail in title","Check")</f>
        <v/>
      </c>
      <c r="X222">
        <f>Settings!$B$6</f>
        <v/>
      </c>
    </row>
    <row r="223">
      <c r="A223" t="inlineStr">
        <is>
          <t>C 300-500 km</t>
        </is>
      </c>
      <c r="B223" t="inlineStr">
        <is>
          <t>16700712</t>
        </is>
      </c>
      <c r="C223" t="inlineStr">
        <is>
          <t>GEM/2026/B/7242816</t>
        </is>
      </c>
      <c r="D223" t="inlineStr">
        <is>
          <t>transport service, 14707980 transportation of crushed coal from discharge point of ir crusher of umrer ocm chp by hiring of tipper, loaded b</t>
        </is>
      </c>
      <c r="E223" t="inlineStr">
        <is>
          <t>Coal transport (road)</t>
        </is>
      </c>
      <c r="F223" t="inlineStr">
        <is>
          <t>Western Coalfields Limited</t>
        </is>
      </c>
      <c r="G223" t="inlineStr">
        <is>
          <t>Maharashtra</t>
        </is>
      </c>
      <c r="H223" t="inlineStr">
        <is>
          <t>Nagpur</t>
        </is>
      </c>
      <c r="I223" t="inlineStr">
        <is>
          <t>2026-03-02</t>
        </is>
      </c>
      <c r="J223" t="inlineStr">
        <is>
          <t>Financial</t>
        </is>
      </c>
      <c r="K223" t="inlineStr">
        <is>
          <t>-</t>
        </is>
      </c>
      <c r="L223" t="inlineStr">
        <is>
          <t>Saikrupa Coal Supplier</t>
        </is>
      </c>
      <c r="M223" t="inlineStr">
        <is>
          <t>5 named / 5</t>
        </is>
      </c>
      <c r="O223" t="n">
        <v>454</v>
      </c>
      <c r="P223">
        <f>MAX(O223,Settings!$B$13)*Settings!$B$7</f>
        <v/>
      </c>
      <c r="Q223">
        <f>MAX(O223,Settings!$B$13)*Settings!$B$8</f>
        <v/>
      </c>
      <c r="R223" s="4">
        <f>MAX(P223*Settings!$B$5,IF(ISNUMBER(Settings!$B$12),Settings!$B$12,0))*(1+IF(Settings!$B$11="Y",0,Settings!$B$10/100))+N(Settings!$B$9)</f>
        <v/>
      </c>
      <c r="S223" s="4">
        <f>IF(Q223&gt;1000,"beyond table",IFERROR(LOOKUP(Q223,'FOIS 145A'!$A$2:$A$22,'FOIS 145A'!$C$2:$C$22),""))</f>
        <v/>
      </c>
      <c r="T223" s="4">
        <f>IF(ISNUMBER(S223),S223*(1+IF(Settings!$B$11="Y",0,Settings!$B$10/100))+2*N(Settings!$B$9),"")</f>
        <v/>
      </c>
      <c r="U223">
        <f>IF(ISNUMBER(T223),IF(T223&lt;R223,"Rail","Road"),"")</f>
        <v/>
      </c>
      <c r="V223" s="4">
        <f>IF(ISNUMBER(T223),ABS(R223-T223),"")</f>
        <v/>
      </c>
      <c r="W223">
        <f>IF(OR(ISNUMBER(SEARCH("siding",D223)),ISNUMBER(SEARCH("rcr",D223)),ISNUMBER(SEARCH("rail",D223)),ISNUMBER(SEARCH("wagon",D223))),"Yes - siding/rail in title","Check")</f>
        <v/>
      </c>
      <c r="X223">
        <f>Settings!$B$6</f>
        <v/>
      </c>
    </row>
    <row r="224">
      <c r="A224" t="inlineStr">
        <is>
          <t>C 300-500 km</t>
        </is>
      </c>
      <c r="B224" t="inlineStr">
        <is>
          <t>16647909</t>
        </is>
      </c>
      <c r="C224" t="inlineStr">
        <is>
          <t>GEM/2026/B/7063083</t>
        </is>
      </c>
      <c r="D224" t="inlineStr">
        <is>
          <t>handling &amp; transport service, crushing of rom coal by hiring of mobile crusher, transportation of crushed coal and loading of rom coal by hi</t>
        </is>
      </c>
      <c r="E224" t="inlineStr">
        <is>
          <t>Coal transport (road)</t>
        </is>
      </c>
      <c r="F224" t="inlineStr">
        <is>
          <t>Western Coalfields Limited</t>
        </is>
      </c>
      <c r="G224" t="inlineStr">
        <is>
          <t>Maharashtra</t>
        </is>
      </c>
      <c r="H224" t="inlineStr">
        <is>
          <t>Nagpur</t>
        </is>
      </c>
      <c r="I224" t="inlineStr">
        <is>
          <t>2026-01-27</t>
        </is>
      </c>
      <c r="J224" t="inlineStr">
        <is>
          <t>AOC</t>
        </is>
      </c>
      <c r="K224" t="inlineStr">
        <is>
          <t>Krishna Infrastructure</t>
        </is>
      </c>
      <c r="L224" t="inlineStr">
        <is>
          <t>G K Associates</t>
        </is>
      </c>
      <c r="M224" t="inlineStr">
        <is>
          <t>5 named / 18</t>
        </is>
      </c>
      <c r="N224" t="n">
        <v>34.06</v>
      </c>
      <c r="O224" t="n">
        <v>454</v>
      </c>
      <c r="P224">
        <f>MAX(O224,Settings!$B$13)*Settings!$B$7</f>
        <v/>
      </c>
      <c r="Q224">
        <f>MAX(O224,Settings!$B$13)*Settings!$B$8</f>
        <v/>
      </c>
      <c r="R224" s="4">
        <f>MAX(P224*Settings!$B$5,IF(ISNUMBER(Settings!$B$12),Settings!$B$12,0))*(1+IF(Settings!$B$11="Y",0,Settings!$B$10/100))+N(Settings!$B$9)</f>
        <v/>
      </c>
      <c r="S224" s="4">
        <f>IF(Q224&gt;1000,"beyond table",IFERROR(LOOKUP(Q224,'FOIS 145A'!$A$2:$A$22,'FOIS 145A'!$C$2:$C$22),""))</f>
        <v/>
      </c>
      <c r="T224" s="4">
        <f>IF(ISNUMBER(S224),S224*(1+IF(Settings!$B$11="Y",0,Settings!$B$10/100))+2*N(Settings!$B$9),"")</f>
        <v/>
      </c>
      <c r="U224">
        <f>IF(ISNUMBER(T224),IF(T224&lt;R224,"Rail","Road"),"")</f>
        <v/>
      </c>
      <c r="V224" s="4">
        <f>IF(ISNUMBER(T224),ABS(R224-T224),"")</f>
        <v/>
      </c>
      <c r="W224">
        <f>IF(OR(ISNUMBER(SEARCH("siding",D224)),ISNUMBER(SEARCH("rcr",D224)),ISNUMBER(SEARCH("rail",D224)),ISNUMBER(SEARCH("wagon",D224))),"Yes - siding/rail in title","Check")</f>
        <v/>
      </c>
      <c r="X224">
        <f>Settings!$B$6</f>
        <v/>
      </c>
    </row>
    <row r="225">
      <c r="A225" t="inlineStr">
        <is>
          <t>C 300-500 km</t>
        </is>
      </c>
      <c r="B225" t="inlineStr">
        <is>
          <t>17461691</t>
        </is>
      </c>
      <c r="C225" t="inlineStr">
        <is>
          <t>GEM/2026/B/7470804</t>
        </is>
      </c>
      <c r="D225" t="inlineStr">
        <is>
          <t>handling service, crushing of rom coal at makardhokda-iii ocm of umrer area</t>
        </is>
      </c>
      <c r="E225" t="inlineStr">
        <is>
          <t>Loading / handling / crushing</t>
        </is>
      </c>
      <c r="F225" t="inlineStr">
        <is>
          <t>Western Coalfields Limited</t>
        </is>
      </c>
      <c r="G225" t="inlineStr">
        <is>
          <t>Maharashtra</t>
        </is>
      </c>
      <c r="H225" t="inlineStr">
        <is>
          <t>Nagpur</t>
        </is>
      </c>
      <c r="I225" t="inlineStr">
        <is>
          <t>2026-05-08</t>
        </is>
      </c>
      <c r="J225" t="inlineStr">
        <is>
          <t>AOC</t>
        </is>
      </c>
      <c r="K225" t="inlineStr">
        <is>
          <t>Teqworth Solutions And Services Llp</t>
        </is>
      </c>
      <c r="L225" t="inlineStr"/>
      <c r="M225" t="inlineStr">
        <is>
          <t>4 named / 4</t>
        </is>
      </c>
      <c r="N225" t="n">
        <v>11</v>
      </c>
      <c r="O225" t="n">
        <v>454</v>
      </c>
      <c r="P225">
        <f>MAX(O225,Settings!$B$13)*Settings!$B$7</f>
        <v/>
      </c>
      <c r="Q225">
        <f>MAX(O225,Settings!$B$13)*Settings!$B$8</f>
        <v/>
      </c>
      <c r="R225" s="4">
        <f>MAX(P225*Settings!$B$5,IF(ISNUMBER(Settings!$B$12),Settings!$B$12,0))*(1+IF(Settings!$B$11="Y",0,Settings!$B$10/100))+N(Settings!$B$9)</f>
        <v/>
      </c>
      <c r="S225" s="4">
        <f>IF(Q225&gt;1000,"beyond table",IFERROR(LOOKUP(Q225,'FOIS 145A'!$A$2:$A$22,'FOIS 145A'!$C$2:$C$22),""))</f>
        <v/>
      </c>
      <c r="T225" s="4">
        <f>IF(ISNUMBER(S225),S225*(1+IF(Settings!$B$11="Y",0,Settings!$B$10/100))+2*N(Settings!$B$9),"")</f>
        <v/>
      </c>
      <c r="U225">
        <f>IF(ISNUMBER(T225),IF(T225&lt;R225,"Rail","Road"),"")</f>
        <v/>
      </c>
      <c r="V225" s="4">
        <f>IF(ISNUMBER(T225),ABS(R225-T225),"")</f>
        <v/>
      </c>
      <c r="W225">
        <f>IF(OR(ISNUMBER(SEARCH("siding",D225)),ISNUMBER(SEARCH("rcr",D225)),ISNUMBER(SEARCH("rail",D225)),ISNUMBER(SEARCH("wagon",D225))),"Yes - siding/rail in title","Check")</f>
        <v/>
      </c>
      <c r="X225">
        <f>Settings!$B$6</f>
        <v/>
      </c>
    </row>
    <row r="226">
      <c r="A226" t="inlineStr">
        <is>
          <t>C 300-500 km</t>
        </is>
      </c>
      <c r="B226" t="inlineStr">
        <is>
          <t>16741356</t>
        </is>
      </c>
      <c r="C226" t="inlineStr">
        <is>
          <t>GEM/2026/B/7155844</t>
        </is>
      </c>
      <c r="D226" t="inlineStr">
        <is>
          <t>handling service, loading of coal into wagons by hired pay loaders at bg railway siding saoner of nagpur area</t>
        </is>
      </c>
      <c r="E226" t="inlineStr">
        <is>
          <t>Loading / handling / crushing</t>
        </is>
      </c>
      <c r="F226" t="inlineStr">
        <is>
          <t>Western Coalfields Limited</t>
        </is>
      </c>
      <c r="G226" t="inlineStr">
        <is>
          <t>Maharashtra</t>
        </is>
      </c>
      <c r="H226" t="inlineStr">
        <is>
          <t>Nagpur</t>
        </is>
      </c>
      <c r="I226" t="inlineStr">
        <is>
          <t>2026-02-12</t>
        </is>
      </c>
      <c r="J226" t="inlineStr">
        <is>
          <t>AOC</t>
        </is>
      </c>
      <c r="K226" t="inlineStr">
        <is>
          <t>Orbit Corporation</t>
        </is>
      </c>
      <c r="L226" t="inlineStr"/>
      <c r="M226" t="inlineStr">
        <is>
          <t>5 named / 8</t>
        </is>
      </c>
      <c r="N226" t="n">
        <v>14.86</v>
      </c>
      <c r="O226" t="n">
        <v>454</v>
      </c>
      <c r="P226">
        <f>MAX(O226,Settings!$B$13)*Settings!$B$7</f>
        <v/>
      </c>
      <c r="Q226">
        <f>MAX(O226,Settings!$B$13)*Settings!$B$8</f>
        <v/>
      </c>
      <c r="R226" s="4">
        <f>MAX(P226*Settings!$B$5,IF(ISNUMBER(Settings!$B$12),Settings!$B$12,0))*(1+IF(Settings!$B$11="Y",0,Settings!$B$10/100))+N(Settings!$B$9)</f>
        <v/>
      </c>
      <c r="S226" s="4">
        <f>IF(Q226&gt;1000,"beyond table",IFERROR(LOOKUP(Q226,'FOIS 145A'!$A$2:$A$22,'FOIS 145A'!$C$2:$C$22),""))</f>
        <v/>
      </c>
      <c r="T226" s="4">
        <f>IF(ISNUMBER(S226),S226*(1+IF(Settings!$B$11="Y",0,Settings!$B$10/100))+2*N(Settings!$B$9),"")</f>
        <v/>
      </c>
      <c r="U226">
        <f>IF(ISNUMBER(T226),IF(T226&lt;R226,"Rail","Road"),"")</f>
        <v/>
      </c>
      <c r="V226" s="4">
        <f>IF(ISNUMBER(T226),ABS(R226-T226),"")</f>
        <v/>
      </c>
      <c r="W226">
        <f>IF(OR(ISNUMBER(SEARCH("siding",D226)),ISNUMBER(SEARCH("rcr",D226)),ISNUMBER(SEARCH("rail",D226)),ISNUMBER(SEARCH("wagon",D226))),"Yes - siding/rail in title","Check")</f>
        <v/>
      </c>
      <c r="X226">
        <f>Settings!$B$6</f>
        <v/>
      </c>
    </row>
    <row r="227">
      <c r="A227" t="inlineStr">
        <is>
          <t>C 300-500 km</t>
        </is>
      </c>
      <c r="B227" t="inlineStr">
        <is>
          <t>17230528</t>
        </is>
      </c>
      <c r="C227" t="inlineStr">
        <is>
          <t>GEM/2026/B/7280559</t>
        </is>
      </c>
      <c r="D227" t="inlineStr">
        <is>
          <t>ob removal, coal extraction, hoe work at makardhokda i expn oc mine of umrer area, wcl</t>
        </is>
      </c>
      <c r="E227" t="inlineStr">
        <is>
          <t>Mining services (OB / extraction)</t>
        </is>
      </c>
      <c r="F227" t="inlineStr">
        <is>
          <t>Western Coalfields Limited</t>
        </is>
      </c>
      <c r="G227" t="inlineStr">
        <is>
          <t>Maharashtra</t>
        </is>
      </c>
      <c r="H227" t="inlineStr">
        <is>
          <t>Nagpur</t>
        </is>
      </c>
      <c r="I227" t="inlineStr">
        <is>
          <t>2026-03-12</t>
        </is>
      </c>
      <c r="J227" t="inlineStr">
        <is>
          <t>Financial</t>
        </is>
      </c>
      <c r="K227" t="inlineStr">
        <is>
          <t>-</t>
        </is>
      </c>
      <c r="L227" t="inlineStr">
        <is>
          <t>Caliber Mining and Logistics</t>
        </is>
      </c>
      <c r="M227" t="inlineStr">
        <is>
          <t>5 named / 10</t>
        </is>
      </c>
      <c r="O227" t="n">
        <v>454</v>
      </c>
      <c r="P227">
        <f>MAX(O227,Settings!$B$13)*Settings!$B$7</f>
        <v/>
      </c>
      <c r="Q227">
        <f>MAX(O227,Settings!$B$13)*Settings!$B$8</f>
        <v/>
      </c>
      <c r="R227" s="4">
        <f>MAX(P227*Settings!$B$5,IF(ISNUMBER(Settings!$B$12),Settings!$B$12,0))*(1+IF(Settings!$B$11="Y",0,Settings!$B$10/100))+N(Settings!$B$9)</f>
        <v/>
      </c>
      <c r="S227" s="4">
        <f>IF(Q227&gt;1000,"beyond table",IFERROR(LOOKUP(Q227,'FOIS 145A'!$A$2:$A$22,'FOIS 145A'!$C$2:$C$22),""))</f>
        <v/>
      </c>
      <c r="T227" s="4">
        <f>IF(ISNUMBER(S227),S227*(1+IF(Settings!$B$11="Y",0,Settings!$B$10/100))+2*N(Settings!$B$9),"")</f>
        <v/>
      </c>
      <c r="U227">
        <f>IF(ISNUMBER(T227),IF(T227&lt;R227,"Rail","Road"),"")</f>
        <v/>
      </c>
      <c r="V227" s="4">
        <f>IF(ISNUMBER(T227),ABS(R227-T227),"")</f>
        <v/>
      </c>
      <c r="W227">
        <f>IF(OR(ISNUMBER(SEARCH("siding",D227)),ISNUMBER(SEARCH("rcr",D227)),ISNUMBER(SEARCH("rail",D227)),ISNUMBER(SEARCH("wagon",D227))),"Yes - siding/rail in title","Check")</f>
        <v/>
      </c>
      <c r="X227">
        <f>Settings!$B$6</f>
        <v/>
      </c>
    </row>
    <row r="228">
      <c r="A228" t="inlineStr">
        <is>
          <t>C 300-500 km</t>
        </is>
      </c>
      <c r="B228" t="inlineStr">
        <is>
          <t>16954187</t>
        </is>
      </c>
      <c r="C228" t="inlineStr">
        <is>
          <t>GEM/2026/B/7238355</t>
        </is>
      </c>
      <c r="D228" t="inlineStr">
        <is>
          <t>ob removal, coal extraction, hoe work at makardhokda iii oc mine of umrer area wcl</t>
        </is>
      </c>
      <c r="E228" t="inlineStr">
        <is>
          <t>Mining services (OB / extraction)</t>
        </is>
      </c>
      <c r="F228" t="inlineStr">
        <is>
          <t>Western Coalfields Limited</t>
        </is>
      </c>
      <c r="G228" t="inlineStr">
        <is>
          <t>Maharashtra</t>
        </is>
      </c>
      <c r="H228" t="inlineStr">
        <is>
          <t>Nagpur</t>
        </is>
      </c>
      <c r="I228" t="inlineStr">
        <is>
          <t>2026-03-02</t>
        </is>
      </c>
      <c r="J228" t="inlineStr">
        <is>
          <t>AOC</t>
        </is>
      </c>
      <c r="K228" t="inlineStr">
        <is>
          <t>M/S Karam Singh And Company</t>
        </is>
      </c>
      <c r="L228" t="inlineStr">
        <is>
          <t>Caliber Mining and Logistics</t>
        </is>
      </c>
      <c r="M228" t="inlineStr">
        <is>
          <t>5 named / 20</t>
        </is>
      </c>
      <c r="N228" t="n">
        <v>1396.33</v>
      </c>
      <c r="O228" t="n">
        <v>454</v>
      </c>
      <c r="P228">
        <f>MAX(O228,Settings!$B$13)*Settings!$B$7</f>
        <v/>
      </c>
      <c r="Q228">
        <f>MAX(O228,Settings!$B$13)*Settings!$B$8</f>
        <v/>
      </c>
      <c r="R228" s="4">
        <f>MAX(P228*Settings!$B$5,IF(ISNUMBER(Settings!$B$12),Settings!$B$12,0))*(1+IF(Settings!$B$11="Y",0,Settings!$B$10/100))+N(Settings!$B$9)</f>
        <v/>
      </c>
      <c r="S228" s="4">
        <f>IF(Q228&gt;1000,"beyond table",IFERROR(LOOKUP(Q228,'FOIS 145A'!$A$2:$A$22,'FOIS 145A'!$C$2:$C$22),""))</f>
        <v/>
      </c>
      <c r="T228" s="4">
        <f>IF(ISNUMBER(S228),S228*(1+IF(Settings!$B$11="Y",0,Settings!$B$10/100))+2*N(Settings!$B$9),"")</f>
        <v/>
      </c>
      <c r="U228">
        <f>IF(ISNUMBER(T228),IF(T228&lt;R228,"Rail","Road"),"")</f>
        <v/>
      </c>
      <c r="V228" s="4">
        <f>IF(ISNUMBER(T228),ABS(R228-T228),"")</f>
        <v/>
      </c>
      <c r="W228">
        <f>IF(OR(ISNUMBER(SEARCH("siding",D228)),ISNUMBER(SEARCH("rcr",D228)),ISNUMBER(SEARCH("rail",D228)),ISNUMBER(SEARCH("wagon",D228))),"Yes - siding/rail in title","Check")</f>
        <v/>
      </c>
      <c r="X228">
        <f>Settings!$B$6</f>
        <v/>
      </c>
    </row>
    <row r="229">
      <c r="A229" t="inlineStr">
        <is>
          <t>C 300-500 km</t>
        </is>
      </c>
      <c r="B229" t="inlineStr">
        <is>
          <t>12933731</t>
        </is>
      </c>
      <c r="C229" t="inlineStr">
        <is>
          <t>GEM/2025/B/5948772</t>
        </is>
      </c>
      <c r="D229" t="inlineStr">
        <is>
          <t>ob removal, coal extractio</t>
        </is>
      </c>
      <c r="E229" t="inlineStr">
        <is>
          <t>Mining services (OB / extraction)</t>
        </is>
      </c>
      <c r="F229" t="inlineStr">
        <is>
          <t>Western Coalfields Limited</t>
        </is>
      </c>
      <c r="G229" t="inlineStr">
        <is>
          <t>Maharashtra</t>
        </is>
      </c>
      <c r="H229" t="inlineStr">
        <is>
          <t>Nagpur</t>
        </is>
      </c>
      <c r="I229" t="inlineStr">
        <is>
          <t>2025-03-03</t>
        </is>
      </c>
      <c r="J229" t="inlineStr">
        <is>
          <t>AOC</t>
        </is>
      </c>
      <c r="K229" t="inlineStr">
        <is>
          <t>Hilltop Hirise Private Limited</t>
        </is>
      </c>
      <c r="L229" t="inlineStr"/>
      <c r="M229" t="inlineStr">
        <is>
          <t>5 named / 6</t>
        </is>
      </c>
      <c r="N229" t="n">
        <v>147.71</v>
      </c>
      <c r="O229" t="n">
        <v>454</v>
      </c>
      <c r="P229">
        <f>MAX(O229,Settings!$B$13)*Settings!$B$7</f>
        <v/>
      </c>
      <c r="Q229">
        <f>MAX(O229,Settings!$B$13)*Settings!$B$8</f>
        <v/>
      </c>
      <c r="R229" s="4">
        <f>MAX(P229*Settings!$B$5,IF(ISNUMBER(Settings!$B$12),Settings!$B$12,0))*(1+IF(Settings!$B$11="Y",0,Settings!$B$10/100))+N(Settings!$B$9)</f>
        <v/>
      </c>
      <c r="S229" s="4">
        <f>IF(Q229&gt;1000,"beyond table",IFERROR(LOOKUP(Q229,'FOIS 145A'!$A$2:$A$22,'FOIS 145A'!$C$2:$C$22),""))</f>
        <v/>
      </c>
      <c r="T229" s="4">
        <f>IF(ISNUMBER(S229),S229*(1+IF(Settings!$B$11="Y",0,Settings!$B$10/100))+2*N(Settings!$B$9),"")</f>
        <v/>
      </c>
      <c r="U229">
        <f>IF(ISNUMBER(T229),IF(T229&lt;R229,"Rail","Road"),"")</f>
        <v/>
      </c>
      <c r="V229" s="4">
        <f>IF(ISNUMBER(T229),ABS(R229-T229),"")</f>
        <v/>
      </c>
      <c r="W229">
        <f>IF(OR(ISNUMBER(SEARCH("siding",D229)),ISNUMBER(SEARCH("rcr",D229)),ISNUMBER(SEARCH("rail",D229)),ISNUMBER(SEARCH("wagon",D229))),"Yes - siding/rail in title","Check")</f>
        <v/>
      </c>
      <c r="X229">
        <f>Settings!$B$6</f>
        <v/>
      </c>
    </row>
    <row r="230">
      <c r="A230" t="inlineStr">
        <is>
          <t>C 300-500 km</t>
        </is>
      </c>
      <c r="B230" t="inlineStr">
        <is>
          <t>18354395</t>
        </is>
      </c>
      <c r="C230" t="inlineStr">
        <is>
          <t>GEM/2026/B/7977995</t>
        </is>
      </c>
      <c r="D230" t="inlineStr">
        <is>
          <t>supply of - domestic coal for ntpc (q3) -  | quantity - 500000</t>
        </is>
      </c>
      <c r="E230" t="inlineStr">
        <is>
          <t>Coal supply</t>
        </is>
      </c>
      <c r="F230" t="inlineStr">
        <is>
          <t>National Thermal Power Corporation Limited</t>
        </is>
      </c>
      <c r="G230" t="inlineStr">
        <is>
          <t>Andhra Pradesh</t>
        </is>
      </c>
      <c r="H230" t="inlineStr">
        <is>
          <t>Visakhapatnam</t>
        </is>
      </c>
      <c r="I230" t="inlineStr">
        <is>
          <t>2026-09-18</t>
        </is>
      </c>
      <c r="J230" t="inlineStr">
        <is>
          <t>Financial</t>
        </is>
      </c>
      <c r="K230" t="inlineStr">
        <is>
          <t>-</t>
        </is>
      </c>
      <c r="L230" t="inlineStr">
        <is>
          <t>Godavari Commodities</t>
        </is>
      </c>
      <c r="M230" t="inlineStr">
        <is>
          <t>5 named / 11</t>
        </is>
      </c>
      <c r="O230" t="n">
        <v>469</v>
      </c>
      <c r="P230">
        <f>MAX(O230,Settings!$B$13)*Settings!$B$7</f>
        <v/>
      </c>
      <c r="Q230">
        <f>MAX(O230,Settings!$B$13)*Settings!$B$8</f>
        <v/>
      </c>
      <c r="R230" s="4">
        <f>MAX(P230*Settings!$B$5,IF(ISNUMBER(Settings!$B$12),Settings!$B$12,0))*(1+IF(Settings!$B$11="Y",0,Settings!$B$10/100))+N(Settings!$B$9)</f>
        <v/>
      </c>
      <c r="S230" s="4">
        <f>IF(Q230&gt;1000,"beyond table",IFERROR(LOOKUP(Q230,'FOIS 145A'!$A$2:$A$22,'FOIS 145A'!$C$2:$C$22),""))</f>
        <v/>
      </c>
      <c r="T230" s="4">
        <f>IF(ISNUMBER(S230),S230*(1+IF(Settings!$B$11="Y",0,Settings!$B$10/100))+2*N(Settings!$B$9),"")</f>
        <v/>
      </c>
      <c r="U230">
        <f>IF(ISNUMBER(T230),IF(T230&lt;R230,"Rail","Road"),"")</f>
        <v/>
      </c>
      <c r="V230" s="4">
        <f>IF(ISNUMBER(T230),ABS(R230-T230),"")</f>
        <v/>
      </c>
      <c r="W230">
        <f>IF(OR(ISNUMBER(SEARCH("siding",D230)),ISNUMBER(SEARCH("rcr",D230)),ISNUMBER(SEARCH("rail",D230)),ISNUMBER(SEARCH("wagon",D230))),"Yes - siding/rail in title","Check")</f>
        <v/>
      </c>
      <c r="X230">
        <f>Settings!$B$6</f>
        <v/>
      </c>
    </row>
    <row r="231">
      <c r="A231" t="inlineStr">
        <is>
          <t>C 300-500 km</t>
        </is>
      </c>
      <c r="B231" t="inlineStr">
        <is>
          <t>17588064</t>
        </is>
      </c>
      <c r="C231" t="inlineStr">
        <is>
          <t>GEM/2026/B/7603465</t>
        </is>
      </c>
      <c r="D231" t="inlineStr">
        <is>
          <t>supply of - steam coal (q3) -  | quantity - 60000</t>
        </is>
      </c>
      <c r="E231" t="inlineStr">
        <is>
          <t>Coal supply</t>
        </is>
      </c>
      <c r="F231" t="inlineStr">
        <is>
          <t>Rashtriya Ispat Nigam Limited</t>
        </is>
      </c>
      <c r="G231" t="inlineStr">
        <is>
          <t>Andhra Pradesh</t>
        </is>
      </c>
      <c r="H231" t="inlineStr">
        <is>
          <t>Visakhapatnam</t>
        </is>
      </c>
      <c r="I231" t="inlineStr">
        <is>
          <t>2026-06-16</t>
        </is>
      </c>
      <c r="J231" t="inlineStr">
        <is>
          <t>Financial</t>
        </is>
      </c>
      <c r="K231" t="inlineStr">
        <is>
          <t>-</t>
        </is>
      </c>
      <c r="L231" t="inlineStr">
        <is>
          <t>Godavari Commodities</t>
        </is>
      </c>
      <c r="M231" t="inlineStr">
        <is>
          <t>5 named / 7</t>
        </is>
      </c>
      <c r="O231" t="n">
        <v>469</v>
      </c>
      <c r="P231">
        <f>MAX(O231,Settings!$B$13)*Settings!$B$7</f>
        <v/>
      </c>
      <c r="Q231">
        <f>MAX(O231,Settings!$B$13)*Settings!$B$8</f>
        <v/>
      </c>
      <c r="R231" s="4">
        <f>MAX(P231*Settings!$B$5,IF(ISNUMBER(Settings!$B$12),Settings!$B$12,0))*(1+IF(Settings!$B$11="Y",0,Settings!$B$10/100))+N(Settings!$B$9)</f>
        <v/>
      </c>
      <c r="S231" s="4">
        <f>IF(Q231&gt;1000,"beyond table",IFERROR(LOOKUP(Q231,'FOIS 145A'!$A$2:$A$22,'FOIS 145A'!$C$2:$C$22),""))</f>
        <v/>
      </c>
      <c r="T231" s="4">
        <f>IF(ISNUMBER(S231),S231*(1+IF(Settings!$B$11="Y",0,Settings!$B$10/100))+2*N(Settings!$B$9),"")</f>
        <v/>
      </c>
      <c r="U231">
        <f>IF(ISNUMBER(T231),IF(T231&lt;R231,"Rail","Road"),"")</f>
        <v/>
      </c>
      <c r="V231" s="4">
        <f>IF(ISNUMBER(T231),ABS(R231-T231),"")</f>
        <v/>
      </c>
      <c r="W231">
        <f>IF(OR(ISNUMBER(SEARCH("siding",D231)),ISNUMBER(SEARCH("rcr",D231)),ISNUMBER(SEARCH("rail",D231)),ISNUMBER(SEARCH("wagon",D231))),"Yes - siding/rail in title","Check")</f>
        <v/>
      </c>
      <c r="X231">
        <f>Settings!$B$6</f>
        <v/>
      </c>
    </row>
    <row r="232">
      <c r="A232" t="inlineStr">
        <is>
          <t>C 300-500 km</t>
        </is>
      </c>
      <c r="B232" t="inlineStr">
        <is>
          <t>18286647</t>
        </is>
      </c>
      <c r="C232" t="inlineStr">
        <is>
          <t>2026_NTPC_111971_1</t>
        </is>
      </c>
      <c r="D232" t="inlineStr">
        <is>
          <t>contract for loading and transportation of coal from mcl-ib mine to any designated siding and loading in indian railway wagons for onward tr</t>
        </is>
      </c>
      <c r="E232" t="inlineStr">
        <is>
          <t>Coal transport (RCR / siding)</t>
        </is>
      </c>
      <c r="F232" t="inlineStr">
        <is>
          <t>National Thermal Power Corporation Limited</t>
        </is>
      </c>
      <c r="G232" t="inlineStr">
        <is>
          <t>Andhra Pradesh</t>
        </is>
      </c>
      <c r="H232" t="inlineStr">
        <is>
          <t>Visakhapatnam</t>
        </is>
      </c>
      <c r="I232" t="inlineStr">
        <is>
          <t>2026-09-09</t>
        </is>
      </c>
      <c r="J232" t="inlineStr">
        <is>
          <t>Financial</t>
        </is>
      </c>
      <c r="K232" t="inlineStr">
        <is>
          <t>-</t>
        </is>
      </c>
      <c r="L232" t="inlineStr">
        <is>
          <t>Anoop Road Carriers, Bharat Road Carrier, Sangita Sales, Swami Fuels</t>
        </is>
      </c>
      <c r="M232" t="inlineStr">
        <is>
          <t>5 named / 6</t>
        </is>
      </c>
      <c r="O232" t="n">
        <v>469</v>
      </c>
      <c r="P232">
        <f>MAX(O232,Settings!$B$13)*Settings!$B$7</f>
        <v/>
      </c>
      <c r="Q232">
        <f>MAX(O232,Settings!$B$13)*Settings!$B$8</f>
        <v/>
      </c>
      <c r="R232" s="4">
        <f>MAX(P232*Settings!$B$5,IF(ISNUMBER(Settings!$B$12),Settings!$B$12,0))*(1+IF(Settings!$B$11="Y",0,Settings!$B$10/100))+N(Settings!$B$9)</f>
        <v/>
      </c>
      <c r="S232" s="4">
        <f>IF(Q232&gt;1000,"beyond table",IFERROR(LOOKUP(Q232,'FOIS 145A'!$A$2:$A$22,'FOIS 145A'!$C$2:$C$22),""))</f>
        <v/>
      </c>
      <c r="T232" s="4">
        <f>IF(ISNUMBER(S232),S232*(1+IF(Settings!$B$11="Y",0,Settings!$B$10/100))+2*N(Settings!$B$9),"")</f>
        <v/>
      </c>
      <c r="U232">
        <f>IF(ISNUMBER(T232),IF(T232&lt;R232,"Rail","Road"),"")</f>
        <v/>
      </c>
      <c r="V232" s="4">
        <f>IF(ISNUMBER(T232),ABS(R232-T232),"")</f>
        <v/>
      </c>
      <c r="W232">
        <f>IF(OR(ISNUMBER(SEARCH("siding",D232)),ISNUMBER(SEARCH("rcr",D232)),ISNUMBER(SEARCH("rail",D232)),ISNUMBER(SEARCH("wagon",D232))),"Yes - siding/rail in title","Check")</f>
        <v/>
      </c>
      <c r="X232">
        <f>Settings!$B$6</f>
        <v/>
      </c>
    </row>
    <row r="233">
      <c r="A233" t="inlineStr">
        <is>
          <t>C 300-500 km</t>
        </is>
      </c>
      <c r="B233" t="inlineStr">
        <is>
          <t>17916755</t>
        </is>
      </c>
      <c r="C233" t="inlineStr">
        <is>
          <t>GEM/2026/B/7794491</t>
        </is>
      </c>
      <c r="D233" t="inlineStr">
        <is>
          <t>appointment an agency for coal lifting and transportation of coal via road from ms nlc india limited (nlc) to railway sidings &amp; wagon loadin</t>
        </is>
      </c>
      <c r="E233" t="inlineStr">
        <is>
          <t>Coal transport (RCR / siding)</t>
        </is>
      </c>
      <c r="F233" t="inlineStr">
        <is>
          <t>Rashtriya Ispat Nigam Limited</t>
        </is>
      </c>
      <c r="G233" t="inlineStr">
        <is>
          <t>Andhra Pradesh</t>
        </is>
      </c>
      <c r="H233" t="inlineStr">
        <is>
          <t>Visakhapatnam</t>
        </is>
      </c>
      <c r="I233" t="inlineStr">
        <is>
          <t>2026-07-27</t>
        </is>
      </c>
      <c r="J233" t="inlineStr">
        <is>
          <t>AOC</t>
        </is>
      </c>
      <c r="K233" t="inlineStr">
        <is>
          <t>Maa Kalika Transport Private Limited</t>
        </is>
      </c>
      <c r="L233" t="inlineStr">
        <is>
          <t>Anoop Road Carriers</t>
        </is>
      </c>
      <c r="M233" t="inlineStr">
        <is>
          <t>3 named / 3</t>
        </is>
      </c>
      <c r="N233" t="n">
        <v>3.5</v>
      </c>
      <c r="O233" t="n">
        <v>469</v>
      </c>
      <c r="P233">
        <f>MAX(O233,Settings!$B$13)*Settings!$B$7</f>
        <v/>
      </c>
      <c r="Q233">
        <f>MAX(O233,Settings!$B$13)*Settings!$B$8</f>
        <v/>
      </c>
      <c r="R233" s="4">
        <f>MAX(P233*Settings!$B$5,IF(ISNUMBER(Settings!$B$12),Settings!$B$12,0))*(1+IF(Settings!$B$11="Y",0,Settings!$B$10/100))+N(Settings!$B$9)</f>
        <v/>
      </c>
      <c r="S233" s="4">
        <f>IF(Q233&gt;1000,"beyond table",IFERROR(LOOKUP(Q233,'FOIS 145A'!$A$2:$A$22,'FOIS 145A'!$C$2:$C$22),""))</f>
        <v/>
      </c>
      <c r="T233" s="4">
        <f>IF(ISNUMBER(S233),S233*(1+IF(Settings!$B$11="Y",0,Settings!$B$10/100))+2*N(Settings!$B$9),"")</f>
        <v/>
      </c>
      <c r="U233">
        <f>IF(ISNUMBER(T233),IF(T233&lt;R233,"Rail","Road"),"")</f>
        <v/>
      </c>
      <c r="V233" s="4">
        <f>IF(ISNUMBER(T233),ABS(R233-T233),"")</f>
        <v/>
      </c>
      <c r="W233">
        <f>IF(OR(ISNUMBER(SEARCH("siding",D233)),ISNUMBER(SEARCH("rcr",D233)),ISNUMBER(SEARCH("rail",D233)),ISNUMBER(SEARCH("wagon",D233))),"Yes - siding/rail in title","Check")</f>
        <v/>
      </c>
      <c r="X233">
        <f>Settings!$B$6</f>
        <v/>
      </c>
    </row>
    <row r="234">
      <c r="A234" t="inlineStr">
        <is>
          <t>C 300-500 km</t>
        </is>
      </c>
      <c r="B234" t="inlineStr">
        <is>
          <t>17391448</t>
        </is>
      </c>
      <c r="C234" t="inlineStr">
        <is>
          <t>GEM/2026/B/7541776</t>
        </is>
      </c>
      <c r="D234" t="inlineStr">
        <is>
          <t>appointment of an agency for coal lifting and transportation of coal via road from ms nlc india limited (nlc) to railway sidings &amp; wagon loa</t>
        </is>
      </c>
      <c r="E234" t="inlineStr">
        <is>
          <t>Coal transport (RCR / siding)</t>
        </is>
      </c>
      <c r="F234" t="inlineStr">
        <is>
          <t>Rashtriya Ispat Nigam Limited</t>
        </is>
      </c>
      <c r="G234" t="inlineStr">
        <is>
          <t>Andhra Pradesh</t>
        </is>
      </c>
      <c r="H234" t="inlineStr">
        <is>
          <t>Visakhapatnam</t>
        </is>
      </c>
      <c r="I234" t="inlineStr">
        <is>
          <t>2026-05-25</t>
        </is>
      </c>
      <c r="J234" t="inlineStr">
        <is>
          <t>AOC</t>
        </is>
      </c>
      <c r="K234" t="inlineStr">
        <is>
          <t>Maa Kalika Transport Private Limited</t>
        </is>
      </c>
      <c r="L234" t="inlineStr">
        <is>
          <t>Anoop Road Carriers</t>
        </is>
      </c>
      <c r="M234" t="inlineStr">
        <is>
          <t>3 named / 3</t>
        </is>
      </c>
      <c r="N234" t="n">
        <v>0.36</v>
      </c>
      <c r="O234" t="n">
        <v>469</v>
      </c>
      <c r="P234">
        <f>MAX(O234,Settings!$B$13)*Settings!$B$7</f>
        <v/>
      </c>
      <c r="Q234">
        <f>MAX(O234,Settings!$B$13)*Settings!$B$8</f>
        <v/>
      </c>
      <c r="R234" s="4">
        <f>MAX(P234*Settings!$B$5,IF(ISNUMBER(Settings!$B$12),Settings!$B$12,0))*(1+IF(Settings!$B$11="Y",0,Settings!$B$10/100))+N(Settings!$B$9)</f>
        <v/>
      </c>
      <c r="S234" s="4">
        <f>IF(Q234&gt;1000,"beyond table",IFERROR(LOOKUP(Q234,'FOIS 145A'!$A$2:$A$22,'FOIS 145A'!$C$2:$C$22),""))</f>
        <v/>
      </c>
      <c r="T234" s="4">
        <f>IF(ISNUMBER(S234),S234*(1+IF(Settings!$B$11="Y",0,Settings!$B$10/100))+2*N(Settings!$B$9),"")</f>
        <v/>
      </c>
      <c r="U234">
        <f>IF(ISNUMBER(T234),IF(T234&lt;R234,"Rail","Road"),"")</f>
        <v/>
      </c>
      <c r="V234" s="4">
        <f>IF(ISNUMBER(T234),ABS(R234-T234),"")</f>
        <v/>
      </c>
      <c r="W234">
        <f>IF(OR(ISNUMBER(SEARCH("siding",D234)),ISNUMBER(SEARCH("rcr",D234)),ISNUMBER(SEARCH("rail",D234)),ISNUMBER(SEARCH("wagon",D234))),"Yes - siding/rail in title","Check")</f>
        <v/>
      </c>
      <c r="X234">
        <f>Settings!$B$6</f>
        <v/>
      </c>
    </row>
    <row r="235">
      <c r="A235" t="inlineStr">
        <is>
          <t>C 300-500 km</t>
        </is>
      </c>
      <c r="B235" t="inlineStr">
        <is>
          <t>14761261</t>
        </is>
      </c>
      <c r="C235" t="inlineStr">
        <is>
          <t>2025_NTPC_98583_1</t>
        </is>
      </c>
      <c r="D235" t="inlineStr">
        <is>
          <t>transportation of 300000mt coal from nlc talabira mines of nlc ltd to ntpc simhadri under rcr mode through any nearby siding</t>
        </is>
      </c>
      <c r="E235" t="inlineStr">
        <is>
          <t>Coal transport (RCR / siding)</t>
        </is>
      </c>
      <c r="F235" t="inlineStr">
        <is>
          <t>National Thermal Power Corporation Limited</t>
        </is>
      </c>
      <c r="G235" t="inlineStr">
        <is>
          <t>Andhra Pradesh</t>
        </is>
      </c>
      <c r="H235" t="inlineStr">
        <is>
          <t>Visakhapatnam</t>
        </is>
      </c>
      <c r="I235" t="inlineStr">
        <is>
          <t>2025-08-11</t>
        </is>
      </c>
      <c r="J235" t="inlineStr">
        <is>
          <t>Technical</t>
        </is>
      </c>
      <c r="K235" t="inlineStr">
        <is>
          <t>-</t>
        </is>
      </c>
      <c r="L235" t="inlineStr">
        <is>
          <t>Advika Logistics, Anoop Road Carriers, Indermani / Indramani</t>
        </is>
      </c>
      <c r="M235" t="inlineStr">
        <is>
          <t>5 named / 15</t>
        </is>
      </c>
      <c r="O235" t="n">
        <v>469</v>
      </c>
      <c r="P235">
        <f>MAX(O235,Settings!$B$13)*Settings!$B$7</f>
        <v/>
      </c>
      <c r="Q235">
        <f>MAX(O235,Settings!$B$13)*Settings!$B$8</f>
        <v/>
      </c>
      <c r="R235" s="4">
        <f>MAX(P235*Settings!$B$5,IF(ISNUMBER(Settings!$B$12),Settings!$B$12,0))*(1+IF(Settings!$B$11="Y",0,Settings!$B$10/100))+N(Settings!$B$9)</f>
        <v/>
      </c>
      <c r="S235" s="4">
        <f>IF(Q235&gt;1000,"beyond table",IFERROR(LOOKUP(Q235,'FOIS 145A'!$A$2:$A$22,'FOIS 145A'!$C$2:$C$22),""))</f>
        <v/>
      </c>
      <c r="T235" s="4">
        <f>IF(ISNUMBER(S235),S235*(1+IF(Settings!$B$11="Y",0,Settings!$B$10/100))+2*N(Settings!$B$9),"")</f>
        <v/>
      </c>
      <c r="U235">
        <f>IF(ISNUMBER(T235),IF(T235&lt;R235,"Rail","Road"),"")</f>
        <v/>
      </c>
      <c r="V235" s="4">
        <f>IF(ISNUMBER(T235),ABS(R235-T235),"")</f>
        <v/>
      </c>
      <c r="W235">
        <f>IF(OR(ISNUMBER(SEARCH("siding",D235)),ISNUMBER(SEARCH("rcr",D235)),ISNUMBER(SEARCH("rail",D235)),ISNUMBER(SEARCH("wagon",D235))),"Yes - siding/rail in title","Check")</f>
        <v/>
      </c>
      <c r="X235">
        <f>Settings!$B$6</f>
        <v/>
      </c>
    </row>
    <row r="236">
      <c r="A236" t="inlineStr">
        <is>
          <t>C 300-500 km</t>
        </is>
      </c>
      <c r="B236" t="inlineStr">
        <is>
          <t>16901865</t>
        </is>
      </c>
      <c r="C236" t="inlineStr">
        <is>
          <t>GEM/2026/B/7249129</t>
        </is>
      </c>
      <c r="D236" t="inlineStr">
        <is>
          <t xml:space="preserve">loading supervision jobs of boiler coal supplies from coal companies, mcl, ecl and other cil subsidiaries to vsps , custom bid for services </t>
        </is>
      </c>
      <c r="E236" t="inlineStr">
        <is>
          <t>Loading / handling / crushing</t>
        </is>
      </c>
      <c r="F236" t="inlineStr">
        <is>
          <t>Rashtriya Ispat Nigam Limited</t>
        </is>
      </c>
      <c r="G236" t="inlineStr">
        <is>
          <t>Andhra Pradesh</t>
        </is>
      </c>
      <c r="H236" t="inlineStr">
        <is>
          <t>Visakhapatnam</t>
        </is>
      </c>
      <c r="I236" t="inlineStr">
        <is>
          <t>2026-03-03</t>
        </is>
      </c>
      <c r="J236" t="inlineStr">
        <is>
          <t>AOC</t>
        </is>
      </c>
      <c r="K236" t="inlineStr">
        <is>
          <t>Ganga Logistics</t>
        </is>
      </c>
      <c r="L236" t="inlineStr">
        <is>
          <t>Godavari Commodities</t>
        </is>
      </c>
      <c r="M236" t="inlineStr">
        <is>
          <t>5 named / 7</t>
        </is>
      </c>
      <c r="N236" t="n">
        <v>1.01</v>
      </c>
      <c r="O236" t="n">
        <v>469</v>
      </c>
      <c r="P236">
        <f>MAX(O236,Settings!$B$13)*Settings!$B$7</f>
        <v/>
      </c>
      <c r="Q236">
        <f>MAX(O236,Settings!$B$13)*Settings!$B$8</f>
        <v/>
      </c>
      <c r="R236" s="4">
        <f>MAX(P236*Settings!$B$5,IF(ISNUMBER(Settings!$B$12),Settings!$B$12,0))*(1+IF(Settings!$B$11="Y",0,Settings!$B$10/100))+N(Settings!$B$9)</f>
        <v/>
      </c>
      <c r="S236" s="4">
        <f>IF(Q236&gt;1000,"beyond table",IFERROR(LOOKUP(Q236,'FOIS 145A'!$A$2:$A$22,'FOIS 145A'!$C$2:$C$22),""))</f>
        <v/>
      </c>
      <c r="T236" s="4">
        <f>IF(ISNUMBER(S236),S236*(1+IF(Settings!$B$11="Y",0,Settings!$B$10/100))+2*N(Settings!$B$9),"")</f>
        <v/>
      </c>
      <c r="U236">
        <f>IF(ISNUMBER(T236),IF(T236&lt;R236,"Rail","Road"),"")</f>
        <v/>
      </c>
      <c r="V236" s="4">
        <f>IF(ISNUMBER(T236),ABS(R236-T236),"")</f>
        <v/>
      </c>
      <c r="W236">
        <f>IF(OR(ISNUMBER(SEARCH("siding",D236)),ISNUMBER(SEARCH("rcr",D236)),ISNUMBER(SEARCH("rail",D236)),ISNUMBER(SEARCH("wagon",D236))),"Yes - siding/rail in title","Check")</f>
        <v/>
      </c>
      <c r="X236">
        <f>Settings!$B$6</f>
        <v/>
      </c>
    </row>
    <row r="237">
      <c r="A237" t="inlineStr">
        <is>
          <t>C 300-500 km</t>
        </is>
      </c>
      <c r="B237" t="inlineStr">
        <is>
          <t>17308642</t>
        </is>
      </c>
      <c r="C237" t="inlineStr">
        <is>
          <t>GEM/2026/B/7403722</t>
        </is>
      </c>
      <c r="D237" t="inlineStr">
        <is>
          <t xml:space="preserve">hiring of custom house agent - lumpsum based - import; clearance of vessel, charter sub agent for bulk cargo vessel such as coal etc as per </t>
        </is>
      </c>
      <c r="E237" t="inlineStr">
        <is>
          <t>Other</t>
        </is>
      </c>
      <c r="F237" t="inlineStr">
        <is>
          <t>Rashtriya Ispat Nigam Limited</t>
        </is>
      </c>
      <c r="G237" t="inlineStr">
        <is>
          <t>Andhra Pradesh</t>
        </is>
      </c>
      <c r="H237" t="inlineStr">
        <is>
          <t>Visakhapatnam</t>
        </is>
      </c>
      <c r="I237" t="inlineStr">
        <is>
          <t>2026-04-21</t>
        </is>
      </c>
      <c r="J237" t="inlineStr">
        <is>
          <t>Financial</t>
        </is>
      </c>
      <c r="K237" t="inlineStr">
        <is>
          <t>-</t>
        </is>
      </c>
      <c r="L237" t="inlineStr">
        <is>
          <t>Orissa Stevedores</t>
        </is>
      </c>
      <c r="M237" t="inlineStr">
        <is>
          <t>5 named / 6</t>
        </is>
      </c>
      <c r="O237" t="n">
        <v>469</v>
      </c>
      <c r="P237">
        <f>MAX(O237,Settings!$B$13)*Settings!$B$7</f>
        <v/>
      </c>
      <c r="Q237">
        <f>MAX(O237,Settings!$B$13)*Settings!$B$8</f>
        <v/>
      </c>
      <c r="R237" s="4">
        <f>MAX(P237*Settings!$B$5,IF(ISNUMBER(Settings!$B$12),Settings!$B$12,0))*(1+IF(Settings!$B$11="Y",0,Settings!$B$10/100))+N(Settings!$B$9)</f>
        <v/>
      </c>
      <c r="S237" s="4">
        <f>IF(Q237&gt;1000,"beyond table",IFERROR(LOOKUP(Q237,'FOIS 145A'!$A$2:$A$22,'FOIS 145A'!$C$2:$C$22),""))</f>
        <v/>
      </c>
      <c r="T237" s="4">
        <f>IF(ISNUMBER(S237),S237*(1+IF(Settings!$B$11="Y",0,Settings!$B$10/100))+2*N(Settings!$B$9),"")</f>
        <v/>
      </c>
      <c r="U237">
        <f>IF(ISNUMBER(T237),IF(T237&lt;R237,"Rail","Road"),"")</f>
        <v/>
      </c>
      <c r="V237" s="4">
        <f>IF(ISNUMBER(T237),ABS(R237-T237),"")</f>
        <v/>
      </c>
      <c r="W237">
        <f>IF(OR(ISNUMBER(SEARCH("siding",D237)),ISNUMBER(SEARCH("rcr",D237)),ISNUMBER(SEARCH("rail",D237)),ISNUMBER(SEARCH("wagon",D237))),"Yes - siding/rail in title","Check")</f>
        <v/>
      </c>
      <c r="X237">
        <f>Settings!$B$6</f>
        <v/>
      </c>
    </row>
    <row r="238">
      <c r="A238" t="inlineStr">
        <is>
          <t>C 300-500 km</t>
        </is>
      </c>
      <c r="B238" t="inlineStr">
        <is>
          <t>13423219</t>
        </is>
      </c>
      <c r="C238" t="inlineStr">
        <is>
          <t>GEM/2025/B/6145041</t>
        </is>
      </c>
      <c r="D238" t="inlineStr">
        <is>
          <t>bf coke</t>
        </is>
      </c>
      <c r="E238" t="inlineStr">
        <is>
          <t>Other (biomass / coke)</t>
        </is>
      </c>
      <c r="F238" t="inlineStr">
        <is>
          <t>Rashtriya Ispat Nigam Limited</t>
        </is>
      </c>
      <c r="G238" t="inlineStr">
        <is>
          <t>Andhra Pradesh</t>
        </is>
      </c>
      <c r="H238" t="inlineStr">
        <is>
          <t>Visakhapatnam</t>
        </is>
      </c>
      <c r="I238" t="inlineStr">
        <is>
          <t>2025-04-28</t>
        </is>
      </c>
      <c r="J238" t="inlineStr">
        <is>
          <t>AOC</t>
        </is>
      </c>
      <c r="K238" t="inlineStr">
        <is>
          <t>Alps Mining Services Private Limited, Mahalaxmi Ennore Coke And Power Private Limited</t>
        </is>
      </c>
      <c r="L238" t="inlineStr"/>
      <c r="M238" t="inlineStr">
        <is>
          <t>5 named / 6</t>
        </is>
      </c>
      <c r="N238" t="n">
        <v>153.3</v>
      </c>
      <c r="O238" t="n">
        <v>469</v>
      </c>
      <c r="P238">
        <f>MAX(O238,Settings!$B$13)*Settings!$B$7</f>
        <v/>
      </c>
      <c r="Q238">
        <f>MAX(O238,Settings!$B$13)*Settings!$B$8</f>
        <v/>
      </c>
      <c r="R238" s="4">
        <f>MAX(P238*Settings!$B$5,IF(ISNUMBER(Settings!$B$12),Settings!$B$12,0))*(1+IF(Settings!$B$11="Y",0,Settings!$B$10/100))+N(Settings!$B$9)</f>
        <v/>
      </c>
      <c r="S238" s="4">
        <f>IF(Q238&gt;1000,"beyond table",IFERROR(LOOKUP(Q238,'FOIS 145A'!$A$2:$A$22,'FOIS 145A'!$C$2:$C$22),""))</f>
        <v/>
      </c>
      <c r="T238" s="4">
        <f>IF(ISNUMBER(S238),S238*(1+IF(Settings!$B$11="Y",0,Settings!$B$10/100))+2*N(Settings!$B$9),"")</f>
        <v/>
      </c>
      <c r="U238">
        <f>IF(ISNUMBER(T238),IF(T238&lt;R238,"Rail","Road"),"")</f>
        <v/>
      </c>
      <c r="V238" s="4">
        <f>IF(ISNUMBER(T238),ABS(R238-T238),"")</f>
        <v/>
      </c>
      <c r="W238">
        <f>IF(OR(ISNUMBER(SEARCH("siding",D238)),ISNUMBER(SEARCH("rcr",D238)),ISNUMBER(SEARCH("rail",D238)),ISNUMBER(SEARCH("wagon",D238))),"Yes - siding/rail in title","Check")</f>
        <v/>
      </c>
      <c r="X238">
        <f>Settings!$B$6</f>
        <v/>
      </c>
    </row>
    <row r="239">
      <c r="A239" t="inlineStr">
        <is>
          <t>C 300-500 km</t>
        </is>
      </c>
      <c r="B239" t="inlineStr">
        <is>
          <t>17044950</t>
        </is>
      </c>
      <c r="C239" t="inlineStr">
        <is>
          <t>GEM/2026/B/7374477</t>
        </is>
      </c>
      <c r="D239" t="inlineStr">
        <is>
          <t>handling &amp; transport service, crushing of rom coal by hired fully mobile crusher and transportation of coal from penganga ocm to mungoli rai</t>
        </is>
      </c>
      <c r="E239" t="inlineStr">
        <is>
          <t>Coal transport (RCR / siding)</t>
        </is>
      </c>
      <c r="F239" t="inlineStr">
        <is>
          <t>Western Coalfields Limited</t>
        </is>
      </c>
      <c r="G239" t="inlineStr">
        <is>
          <t>Maharashtra</t>
        </is>
      </c>
      <c r="H239" t="inlineStr">
        <is>
          <t>Chandrapur</t>
        </is>
      </c>
      <c r="I239" t="inlineStr">
        <is>
          <t>2026-04-11</t>
        </is>
      </c>
      <c r="J239" t="inlineStr">
        <is>
          <t>Financial</t>
        </is>
      </c>
      <c r="K239" t="inlineStr">
        <is>
          <t>-</t>
        </is>
      </c>
      <c r="L239" t="inlineStr">
        <is>
          <t>Saikrupa Coal Supplier</t>
        </is>
      </c>
      <c r="M239" t="inlineStr">
        <is>
          <t>3 named / 3</t>
        </is>
      </c>
      <c r="O239" t="n">
        <v>477</v>
      </c>
      <c r="P239">
        <f>MAX(O239,Settings!$B$13)*Settings!$B$7</f>
        <v/>
      </c>
      <c r="Q239">
        <f>MAX(O239,Settings!$B$13)*Settings!$B$8</f>
        <v/>
      </c>
      <c r="R239" s="4">
        <f>MAX(P239*Settings!$B$5,IF(ISNUMBER(Settings!$B$12),Settings!$B$12,0))*(1+IF(Settings!$B$11="Y",0,Settings!$B$10/100))+N(Settings!$B$9)</f>
        <v/>
      </c>
      <c r="S239" s="4">
        <f>IF(Q239&gt;1000,"beyond table",IFERROR(LOOKUP(Q239,'FOIS 145A'!$A$2:$A$22,'FOIS 145A'!$C$2:$C$22),""))</f>
        <v/>
      </c>
      <c r="T239" s="4">
        <f>IF(ISNUMBER(S239),S239*(1+IF(Settings!$B$11="Y",0,Settings!$B$10/100))+2*N(Settings!$B$9),"")</f>
        <v/>
      </c>
      <c r="U239">
        <f>IF(ISNUMBER(T239),IF(T239&lt;R239,"Rail","Road"),"")</f>
        <v/>
      </c>
      <c r="V239" s="4">
        <f>IF(ISNUMBER(T239),ABS(R239-T239),"")</f>
        <v/>
      </c>
      <c r="W239">
        <f>IF(OR(ISNUMBER(SEARCH("siding",D239)),ISNUMBER(SEARCH("rcr",D239)),ISNUMBER(SEARCH("rail",D239)),ISNUMBER(SEARCH("wagon",D239))),"Yes - siding/rail in title","Check")</f>
        <v/>
      </c>
      <c r="X239">
        <f>Settings!$B$6</f>
        <v/>
      </c>
    </row>
    <row r="240">
      <c r="A240" t="inlineStr">
        <is>
          <t>C 300-500 km</t>
        </is>
      </c>
      <c r="B240" t="inlineStr">
        <is>
          <t>17128589</t>
        </is>
      </c>
      <c r="C240" t="inlineStr">
        <is>
          <t>GEM/2026/B/7367627</t>
        </is>
      </c>
      <c r="D240" t="inlineStr">
        <is>
          <t>handling &amp; transport service, crushing of rom coal by hired fully mobile crusher and transportation of coal from kolgaon ocm to mungoli rail</t>
        </is>
      </c>
      <c r="E240" t="inlineStr">
        <is>
          <t>Coal transport (RCR / siding)</t>
        </is>
      </c>
      <c r="F240" t="inlineStr">
        <is>
          <t>Western Coalfields Limited</t>
        </is>
      </c>
      <c r="G240" t="inlineStr">
        <is>
          <t>Maharashtra</t>
        </is>
      </c>
      <c r="H240" t="inlineStr">
        <is>
          <t>Chandrapur</t>
        </is>
      </c>
      <c r="I240" t="inlineStr">
        <is>
          <t>2026-04-09</t>
        </is>
      </c>
      <c r="J240" t="inlineStr">
        <is>
          <t>Financial</t>
        </is>
      </c>
      <c r="K240" t="inlineStr">
        <is>
          <t>-</t>
        </is>
      </c>
      <c r="L240" t="inlineStr">
        <is>
          <t>Saikrupa Coal Supplier</t>
        </is>
      </c>
      <c r="M240" t="inlineStr">
        <is>
          <t>3 named / 3</t>
        </is>
      </c>
      <c r="O240" t="n">
        <v>477</v>
      </c>
      <c r="P240">
        <f>MAX(O240,Settings!$B$13)*Settings!$B$7</f>
        <v/>
      </c>
      <c r="Q240">
        <f>MAX(O240,Settings!$B$13)*Settings!$B$8</f>
        <v/>
      </c>
      <c r="R240" s="4">
        <f>MAX(P240*Settings!$B$5,IF(ISNUMBER(Settings!$B$12),Settings!$B$12,0))*(1+IF(Settings!$B$11="Y",0,Settings!$B$10/100))+N(Settings!$B$9)</f>
        <v/>
      </c>
      <c r="S240" s="4">
        <f>IF(Q240&gt;1000,"beyond table",IFERROR(LOOKUP(Q240,'FOIS 145A'!$A$2:$A$22,'FOIS 145A'!$C$2:$C$22),""))</f>
        <v/>
      </c>
      <c r="T240" s="4">
        <f>IF(ISNUMBER(S240),S240*(1+IF(Settings!$B$11="Y",0,Settings!$B$10/100))+2*N(Settings!$B$9),"")</f>
        <v/>
      </c>
      <c r="U240">
        <f>IF(ISNUMBER(T240),IF(T240&lt;R240,"Rail","Road"),"")</f>
        <v/>
      </c>
      <c r="V240" s="4">
        <f>IF(ISNUMBER(T240),ABS(R240-T240),"")</f>
        <v/>
      </c>
      <c r="W240">
        <f>IF(OR(ISNUMBER(SEARCH("siding",D240)),ISNUMBER(SEARCH("rcr",D240)),ISNUMBER(SEARCH("rail",D240)),ISNUMBER(SEARCH("wagon",D240))),"Yes - siding/rail in title","Check")</f>
        <v/>
      </c>
      <c r="X240">
        <f>Settings!$B$6</f>
        <v/>
      </c>
    </row>
    <row r="241">
      <c r="A241" t="inlineStr">
        <is>
          <t>C 300-500 km</t>
        </is>
      </c>
      <c r="B241" t="inlineStr">
        <is>
          <t>17092729</t>
        </is>
      </c>
      <c r="C241" t="inlineStr">
        <is>
          <t>GEM/2026/B/7296560</t>
        </is>
      </c>
      <c r="D241" t="inlineStr">
        <is>
          <t>handling &amp; transport service, coal transportation from mungoli ocm to mungoli railway siding of wani area</t>
        </is>
      </c>
      <c r="E241" t="inlineStr">
        <is>
          <t>Coal transport (RCR / siding)</t>
        </is>
      </c>
      <c r="F241" t="inlineStr">
        <is>
          <t>Western Coalfields Limited</t>
        </is>
      </c>
      <c r="G241" t="inlineStr">
        <is>
          <t>Maharashtra</t>
        </is>
      </c>
      <c r="H241" t="inlineStr">
        <is>
          <t>Chandrapur</t>
        </is>
      </c>
      <c r="I241" t="inlineStr">
        <is>
          <t>2026-03-16</t>
        </is>
      </c>
      <c r="J241" t="inlineStr">
        <is>
          <t>AOC</t>
        </is>
      </c>
      <c r="K241" t="inlineStr">
        <is>
          <t>Menakshi Con</t>
        </is>
      </c>
      <c r="L241" t="inlineStr"/>
      <c r="M241" t="inlineStr">
        <is>
          <t>5 named / 8</t>
        </is>
      </c>
      <c r="N241" t="n">
        <v>19.45</v>
      </c>
      <c r="O241" t="n">
        <v>477</v>
      </c>
      <c r="P241">
        <f>MAX(O241,Settings!$B$13)*Settings!$B$7</f>
        <v/>
      </c>
      <c r="Q241">
        <f>MAX(O241,Settings!$B$13)*Settings!$B$8</f>
        <v/>
      </c>
      <c r="R241" s="4">
        <f>MAX(P241*Settings!$B$5,IF(ISNUMBER(Settings!$B$12),Settings!$B$12,0))*(1+IF(Settings!$B$11="Y",0,Settings!$B$10/100))+N(Settings!$B$9)</f>
        <v/>
      </c>
      <c r="S241" s="4">
        <f>IF(Q241&gt;1000,"beyond table",IFERROR(LOOKUP(Q241,'FOIS 145A'!$A$2:$A$22,'FOIS 145A'!$C$2:$C$22),""))</f>
        <v/>
      </c>
      <c r="T241" s="4">
        <f>IF(ISNUMBER(S241),S241*(1+IF(Settings!$B$11="Y",0,Settings!$B$10/100))+2*N(Settings!$B$9),"")</f>
        <v/>
      </c>
      <c r="U241">
        <f>IF(ISNUMBER(T241),IF(T241&lt;R241,"Rail","Road"),"")</f>
        <v/>
      </c>
      <c r="V241" s="4">
        <f>IF(ISNUMBER(T241),ABS(R241-T241),"")</f>
        <v/>
      </c>
      <c r="W241">
        <f>IF(OR(ISNUMBER(SEARCH("siding",D241)),ISNUMBER(SEARCH("rcr",D241)),ISNUMBER(SEARCH("rail",D241)),ISNUMBER(SEARCH("wagon",D241))),"Yes - siding/rail in title","Check")</f>
        <v/>
      </c>
      <c r="X241">
        <f>Settings!$B$6</f>
        <v/>
      </c>
    </row>
    <row r="242">
      <c r="A242" t="inlineStr">
        <is>
          <t>C 300-500 km</t>
        </is>
      </c>
      <c r="B242" t="inlineStr">
        <is>
          <t>16787504</t>
        </is>
      </c>
      <c r="C242" t="inlineStr">
        <is>
          <t>GEM/2026/B/7192765</t>
        </is>
      </c>
      <c r="D242" t="inlineStr">
        <is>
          <t>transport service, coal transportation at yekona-i quarry of amalgamated i &amp; ii oc mine to chargaon railway siding of majri area</t>
        </is>
      </c>
      <c r="E242" t="inlineStr">
        <is>
          <t>Coal transport (RCR / siding)</t>
        </is>
      </c>
      <c r="F242" t="inlineStr">
        <is>
          <t>Western Coalfields Limited</t>
        </is>
      </c>
      <c r="G242" t="inlineStr">
        <is>
          <t>Maharashtra</t>
        </is>
      </c>
      <c r="H242" t="inlineStr">
        <is>
          <t>Chandrapur</t>
        </is>
      </c>
      <c r="I242" t="inlineStr">
        <is>
          <t>2026-02-20</t>
        </is>
      </c>
      <c r="J242" t="inlineStr">
        <is>
          <t>AOC</t>
        </is>
      </c>
      <c r="K242" t="inlineStr">
        <is>
          <t>Saikrupa Coal Supplier</t>
        </is>
      </c>
      <c r="L242" t="inlineStr">
        <is>
          <t>Saikrupa Coal Supplier</t>
        </is>
      </c>
      <c r="M242" t="inlineStr">
        <is>
          <t>3 named / 3</t>
        </is>
      </c>
      <c r="N242" t="n">
        <v>9.970000000000001</v>
      </c>
      <c r="O242" t="n">
        <v>477</v>
      </c>
      <c r="P242">
        <f>MAX(O242,Settings!$B$13)*Settings!$B$7</f>
        <v/>
      </c>
      <c r="Q242">
        <f>MAX(O242,Settings!$B$13)*Settings!$B$8</f>
        <v/>
      </c>
      <c r="R242" s="4">
        <f>MAX(P242*Settings!$B$5,IF(ISNUMBER(Settings!$B$12),Settings!$B$12,0))*(1+IF(Settings!$B$11="Y",0,Settings!$B$10/100))+N(Settings!$B$9)</f>
        <v/>
      </c>
      <c r="S242" s="4">
        <f>IF(Q242&gt;1000,"beyond table",IFERROR(LOOKUP(Q242,'FOIS 145A'!$A$2:$A$22,'FOIS 145A'!$C$2:$C$22),""))</f>
        <v/>
      </c>
      <c r="T242" s="4">
        <f>IF(ISNUMBER(S242),S242*(1+IF(Settings!$B$11="Y",0,Settings!$B$10/100))+2*N(Settings!$B$9),"")</f>
        <v/>
      </c>
      <c r="U242">
        <f>IF(ISNUMBER(T242),IF(T242&lt;R242,"Rail","Road"),"")</f>
        <v/>
      </c>
      <c r="V242" s="4">
        <f>IF(ISNUMBER(T242),ABS(R242-T242),"")</f>
        <v/>
      </c>
      <c r="W242">
        <f>IF(OR(ISNUMBER(SEARCH("siding",D242)),ISNUMBER(SEARCH("rcr",D242)),ISNUMBER(SEARCH("rail",D242)),ISNUMBER(SEARCH("wagon",D242))),"Yes - siding/rail in title","Check")</f>
        <v/>
      </c>
      <c r="X242">
        <f>Settings!$B$6</f>
        <v/>
      </c>
    </row>
    <row r="243">
      <c r="A243" t="inlineStr">
        <is>
          <t>C 300-500 km</t>
        </is>
      </c>
      <c r="B243" t="inlineStr">
        <is>
          <t>17443292</t>
        </is>
      </c>
      <c r="C243" t="inlineStr">
        <is>
          <t>GEM/2026/B/7414527</t>
        </is>
      </c>
      <c r="D243" t="inlineStr">
        <is>
          <t>handling &amp; transport service, crushing and transportation of coal at kolgaon ocm, wani area</t>
        </is>
      </c>
      <c r="E243" t="inlineStr">
        <is>
          <t>Coal transport (road)</t>
        </is>
      </c>
      <c r="F243" t="inlineStr">
        <is>
          <t>Western Coalfields Limited</t>
        </is>
      </c>
      <c r="G243" t="inlineStr">
        <is>
          <t>Maharashtra</t>
        </is>
      </c>
      <c r="H243" t="inlineStr">
        <is>
          <t>Chandrapur</t>
        </is>
      </c>
      <c r="I243" t="inlineStr">
        <is>
          <t>2026-04-20</t>
        </is>
      </c>
      <c r="J243" t="inlineStr">
        <is>
          <t>AOC</t>
        </is>
      </c>
      <c r="K243" t="inlineStr">
        <is>
          <t>Ch Kishore Kumar</t>
        </is>
      </c>
      <c r="L243" t="inlineStr"/>
      <c r="M243" t="inlineStr">
        <is>
          <t>5 named / 12</t>
        </is>
      </c>
      <c r="N243" t="n">
        <v>37.91</v>
      </c>
      <c r="O243" t="n">
        <v>477</v>
      </c>
      <c r="P243">
        <f>MAX(O243,Settings!$B$13)*Settings!$B$7</f>
        <v/>
      </c>
      <c r="Q243">
        <f>MAX(O243,Settings!$B$13)*Settings!$B$8</f>
        <v/>
      </c>
      <c r="R243" s="4">
        <f>MAX(P243*Settings!$B$5,IF(ISNUMBER(Settings!$B$12),Settings!$B$12,0))*(1+IF(Settings!$B$11="Y",0,Settings!$B$10/100))+N(Settings!$B$9)</f>
        <v/>
      </c>
      <c r="S243" s="4">
        <f>IF(Q243&gt;1000,"beyond table",IFERROR(LOOKUP(Q243,'FOIS 145A'!$A$2:$A$22,'FOIS 145A'!$C$2:$C$22),""))</f>
        <v/>
      </c>
      <c r="T243" s="4">
        <f>IF(ISNUMBER(S243),S243*(1+IF(Settings!$B$11="Y",0,Settings!$B$10/100))+2*N(Settings!$B$9),"")</f>
        <v/>
      </c>
      <c r="U243">
        <f>IF(ISNUMBER(T243),IF(T243&lt;R243,"Rail","Road"),"")</f>
        <v/>
      </c>
      <c r="V243" s="4">
        <f>IF(ISNUMBER(T243),ABS(R243-T243),"")</f>
        <v/>
      </c>
      <c r="W243">
        <f>IF(OR(ISNUMBER(SEARCH("siding",D243)),ISNUMBER(SEARCH("rcr",D243)),ISNUMBER(SEARCH("rail",D243)),ISNUMBER(SEARCH("wagon",D243))),"Yes - siding/rail in title","Check")</f>
        <v/>
      </c>
      <c r="X243">
        <f>Settings!$B$6</f>
        <v/>
      </c>
    </row>
    <row r="244">
      <c r="A244" t="inlineStr">
        <is>
          <t>C 300-500 km</t>
        </is>
      </c>
      <c r="B244" t="inlineStr">
        <is>
          <t>17287100</t>
        </is>
      </c>
      <c r="C244" t="inlineStr">
        <is>
          <t>GEM/2026/B/7394856</t>
        </is>
      </c>
      <c r="D244" t="inlineStr">
        <is>
          <t>handling &amp; transport service, coal transportation at amalgamated gouri pouni (e) ocm of ballarpur area</t>
        </is>
      </c>
      <c r="E244" t="inlineStr">
        <is>
          <t>Coal transport (road)</t>
        </is>
      </c>
      <c r="F244" t="inlineStr">
        <is>
          <t>Western Coalfields Limited</t>
        </is>
      </c>
      <c r="G244" t="inlineStr">
        <is>
          <t>Maharashtra</t>
        </is>
      </c>
      <c r="H244" t="inlineStr">
        <is>
          <t>Chandrapur</t>
        </is>
      </c>
      <c r="I244" t="inlineStr">
        <is>
          <t>2026-04-13</t>
        </is>
      </c>
      <c r="J244" t="inlineStr">
        <is>
          <t>AOC</t>
        </is>
      </c>
      <c r="K244" t="inlineStr">
        <is>
          <t>Menakshi Con</t>
        </is>
      </c>
      <c r="L244" t="inlineStr"/>
      <c r="M244" t="inlineStr">
        <is>
          <t>5 named / 7</t>
        </is>
      </c>
      <c r="N244" t="n">
        <v>27.06</v>
      </c>
      <c r="O244" t="n">
        <v>477</v>
      </c>
      <c r="P244">
        <f>MAX(O244,Settings!$B$13)*Settings!$B$7</f>
        <v/>
      </c>
      <c r="Q244">
        <f>MAX(O244,Settings!$B$13)*Settings!$B$8</f>
        <v/>
      </c>
      <c r="R244" s="4">
        <f>MAX(P244*Settings!$B$5,IF(ISNUMBER(Settings!$B$12),Settings!$B$12,0))*(1+IF(Settings!$B$11="Y",0,Settings!$B$10/100))+N(Settings!$B$9)</f>
        <v/>
      </c>
      <c r="S244" s="4">
        <f>IF(Q244&gt;1000,"beyond table",IFERROR(LOOKUP(Q244,'FOIS 145A'!$A$2:$A$22,'FOIS 145A'!$C$2:$C$22),""))</f>
        <v/>
      </c>
      <c r="T244" s="4">
        <f>IF(ISNUMBER(S244),S244*(1+IF(Settings!$B$11="Y",0,Settings!$B$10/100))+2*N(Settings!$B$9),"")</f>
        <v/>
      </c>
      <c r="U244">
        <f>IF(ISNUMBER(T244),IF(T244&lt;R244,"Rail","Road"),"")</f>
        <v/>
      </c>
      <c r="V244" s="4">
        <f>IF(ISNUMBER(T244),ABS(R244-T244),"")</f>
        <v/>
      </c>
      <c r="W244">
        <f>IF(OR(ISNUMBER(SEARCH("siding",D244)),ISNUMBER(SEARCH("rcr",D244)),ISNUMBER(SEARCH("rail",D244)),ISNUMBER(SEARCH("wagon",D244))),"Yes - siding/rail in title","Check")</f>
        <v/>
      </c>
      <c r="X244">
        <f>Settings!$B$6</f>
        <v/>
      </c>
    </row>
    <row r="245">
      <c r="A245" t="inlineStr">
        <is>
          <t>C 300-500 km</t>
        </is>
      </c>
      <c r="B245" t="inlineStr">
        <is>
          <t>17183359</t>
        </is>
      </c>
      <c r="C245" t="inlineStr">
        <is>
          <t>GEM/2026/B/7340568</t>
        </is>
      </c>
      <c r="D245" t="inlineStr">
        <is>
          <t>handling &amp; transport service, crushing and transportation of coal at penganga ocm, wani area</t>
        </is>
      </c>
      <c r="E245" t="inlineStr">
        <is>
          <t>Coal transport (road)</t>
        </is>
      </c>
      <c r="F245" t="inlineStr">
        <is>
          <t>Western Coalfields Limited</t>
        </is>
      </c>
      <c r="G245" t="inlineStr">
        <is>
          <t>Maharashtra</t>
        </is>
      </c>
      <c r="H245" t="inlineStr">
        <is>
          <t>Chandrapur</t>
        </is>
      </c>
      <c r="I245" t="inlineStr">
        <is>
          <t>2026-03-27</t>
        </is>
      </c>
      <c r="J245" t="inlineStr">
        <is>
          <t>AOC</t>
        </is>
      </c>
      <c r="K245" t="inlineStr">
        <is>
          <t>Shashi Structural Engineers Private Limited</t>
        </is>
      </c>
      <c r="L245" t="inlineStr">
        <is>
          <t>Saikrupa Coal Supplier</t>
        </is>
      </c>
      <c r="M245" t="inlineStr">
        <is>
          <t>5 named / 7</t>
        </is>
      </c>
      <c r="N245" t="n">
        <v>21.19</v>
      </c>
      <c r="O245" t="n">
        <v>477</v>
      </c>
      <c r="P245">
        <f>MAX(O245,Settings!$B$13)*Settings!$B$7</f>
        <v/>
      </c>
      <c r="Q245">
        <f>MAX(O245,Settings!$B$13)*Settings!$B$8</f>
        <v/>
      </c>
      <c r="R245" s="4">
        <f>MAX(P245*Settings!$B$5,IF(ISNUMBER(Settings!$B$12),Settings!$B$12,0))*(1+IF(Settings!$B$11="Y",0,Settings!$B$10/100))+N(Settings!$B$9)</f>
        <v/>
      </c>
      <c r="S245" s="4">
        <f>IF(Q245&gt;1000,"beyond table",IFERROR(LOOKUP(Q245,'FOIS 145A'!$A$2:$A$22,'FOIS 145A'!$C$2:$C$22),""))</f>
        <v/>
      </c>
      <c r="T245" s="4">
        <f>IF(ISNUMBER(S245),S245*(1+IF(Settings!$B$11="Y",0,Settings!$B$10/100))+2*N(Settings!$B$9),"")</f>
        <v/>
      </c>
      <c r="U245">
        <f>IF(ISNUMBER(T245),IF(T245&lt;R245,"Rail","Road"),"")</f>
        <v/>
      </c>
      <c r="V245" s="4">
        <f>IF(ISNUMBER(T245),ABS(R245-T245),"")</f>
        <v/>
      </c>
      <c r="W245">
        <f>IF(OR(ISNUMBER(SEARCH("siding",D245)),ISNUMBER(SEARCH("rcr",D245)),ISNUMBER(SEARCH("rail",D245)),ISNUMBER(SEARCH("wagon",D245))),"Yes - siding/rail in title","Check")</f>
        <v/>
      </c>
      <c r="X245">
        <f>Settings!$B$6</f>
        <v/>
      </c>
    </row>
    <row r="246">
      <c r="A246" t="inlineStr">
        <is>
          <t>C 300-500 km</t>
        </is>
      </c>
      <c r="B246" t="inlineStr">
        <is>
          <t>16247259</t>
        </is>
      </c>
      <c r="C246" t="inlineStr">
        <is>
          <t>GEM/2026/B/7066302</t>
        </is>
      </c>
      <c r="D246" t="inlineStr">
        <is>
          <t>handling &amp; transport service, transportation of crushed coal at amal yekona i and ii oc mine majri area</t>
        </is>
      </c>
      <c r="E246" t="inlineStr">
        <is>
          <t>Coal transport (road)</t>
        </is>
      </c>
      <c r="F246" t="inlineStr">
        <is>
          <t>Western Coalfields Limited</t>
        </is>
      </c>
      <c r="G246" t="inlineStr">
        <is>
          <t>Maharashtra</t>
        </is>
      </c>
      <c r="H246" t="inlineStr">
        <is>
          <t>Chandrapur</t>
        </is>
      </c>
      <c r="I246" t="inlineStr">
        <is>
          <t>2026-01-23</t>
        </is>
      </c>
      <c r="J246" t="inlineStr">
        <is>
          <t>AOC</t>
        </is>
      </c>
      <c r="K246" t="inlineStr">
        <is>
          <t>Chadda Infraprojects Llp</t>
        </is>
      </c>
      <c r="L246" t="inlineStr">
        <is>
          <t>Vikas Coal and Minerals</t>
        </is>
      </c>
      <c r="M246" t="inlineStr">
        <is>
          <t>2 named / 2</t>
        </is>
      </c>
      <c r="N246" t="n">
        <v>1.58</v>
      </c>
      <c r="O246" t="n">
        <v>477</v>
      </c>
      <c r="P246">
        <f>MAX(O246,Settings!$B$13)*Settings!$B$7</f>
        <v/>
      </c>
      <c r="Q246">
        <f>MAX(O246,Settings!$B$13)*Settings!$B$8</f>
        <v/>
      </c>
      <c r="R246" s="4">
        <f>MAX(P246*Settings!$B$5,IF(ISNUMBER(Settings!$B$12),Settings!$B$12,0))*(1+IF(Settings!$B$11="Y",0,Settings!$B$10/100))+N(Settings!$B$9)</f>
        <v/>
      </c>
      <c r="S246" s="4">
        <f>IF(Q246&gt;1000,"beyond table",IFERROR(LOOKUP(Q246,'FOIS 145A'!$A$2:$A$22,'FOIS 145A'!$C$2:$C$22),""))</f>
        <v/>
      </c>
      <c r="T246" s="4">
        <f>IF(ISNUMBER(S246),S246*(1+IF(Settings!$B$11="Y",0,Settings!$B$10/100))+2*N(Settings!$B$9),"")</f>
        <v/>
      </c>
      <c r="U246">
        <f>IF(ISNUMBER(T246),IF(T246&lt;R246,"Rail","Road"),"")</f>
        <v/>
      </c>
      <c r="V246" s="4">
        <f>IF(ISNUMBER(T246),ABS(R246-T246),"")</f>
        <v/>
      </c>
      <c r="W246">
        <f>IF(OR(ISNUMBER(SEARCH("siding",D246)),ISNUMBER(SEARCH("rcr",D246)),ISNUMBER(SEARCH("rail",D246)),ISNUMBER(SEARCH("wagon",D246))),"Yes - siding/rail in title","Check")</f>
        <v/>
      </c>
      <c r="X246">
        <f>Settings!$B$6</f>
        <v/>
      </c>
    </row>
    <row r="247">
      <c r="A247" t="inlineStr">
        <is>
          <t>C 300-500 km</t>
        </is>
      </c>
      <c r="B247" t="inlineStr">
        <is>
          <t>15998326</t>
        </is>
      </c>
      <c r="C247" t="inlineStr">
        <is>
          <t>GEM/2025/B/6901003</t>
        </is>
      </c>
      <c r="D247" t="inlineStr">
        <is>
          <t>handling &amp; transport service, crushing and transportation of coal at penganga ocm, wani area</t>
        </is>
      </c>
      <c r="E247" t="inlineStr">
        <is>
          <t>Coal transport (road)</t>
        </is>
      </c>
      <c r="F247" t="inlineStr">
        <is>
          <t>Western Coalfields Limited</t>
        </is>
      </c>
      <c r="G247" t="inlineStr">
        <is>
          <t>Maharashtra</t>
        </is>
      </c>
      <c r="H247" t="inlineStr">
        <is>
          <t>Chandrapur</t>
        </is>
      </c>
      <c r="I247" t="inlineStr">
        <is>
          <t>2025-12-03</t>
        </is>
      </c>
      <c r="J247" t="inlineStr">
        <is>
          <t>AOC</t>
        </is>
      </c>
      <c r="K247" t="inlineStr">
        <is>
          <t>Orbit Corporation</t>
        </is>
      </c>
      <c r="L247" t="inlineStr">
        <is>
          <t>G K Associates, Saikrupa Coal Supplier</t>
        </is>
      </c>
      <c r="M247" t="inlineStr">
        <is>
          <t>5 named / 6</t>
        </is>
      </c>
      <c r="N247" t="n">
        <v>30.74</v>
      </c>
      <c r="O247" t="n">
        <v>477</v>
      </c>
      <c r="P247">
        <f>MAX(O247,Settings!$B$13)*Settings!$B$7</f>
        <v/>
      </c>
      <c r="Q247">
        <f>MAX(O247,Settings!$B$13)*Settings!$B$8</f>
        <v/>
      </c>
      <c r="R247" s="4">
        <f>MAX(P247*Settings!$B$5,IF(ISNUMBER(Settings!$B$12),Settings!$B$12,0))*(1+IF(Settings!$B$11="Y",0,Settings!$B$10/100))+N(Settings!$B$9)</f>
        <v/>
      </c>
      <c r="S247" s="4">
        <f>IF(Q247&gt;1000,"beyond table",IFERROR(LOOKUP(Q247,'FOIS 145A'!$A$2:$A$22,'FOIS 145A'!$C$2:$C$22),""))</f>
        <v/>
      </c>
      <c r="T247" s="4">
        <f>IF(ISNUMBER(S247),S247*(1+IF(Settings!$B$11="Y",0,Settings!$B$10/100))+2*N(Settings!$B$9),"")</f>
        <v/>
      </c>
      <c r="U247">
        <f>IF(ISNUMBER(T247),IF(T247&lt;R247,"Rail","Road"),"")</f>
        <v/>
      </c>
      <c r="V247" s="4">
        <f>IF(ISNUMBER(T247),ABS(R247-T247),"")</f>
        <v/>
      </c>
      <c r="W247">
        <f>IF(OR(ISNUMBER(SEARCH("siding",D247)),ISNUMBER(SEARCH("rcr",D247)),ISNUMBER(SEARCH("rail",D247)),ISNUMBER(SEARCH("wagon",D247))),"Yes - siding/rail in title","Check")</f>
        <v/>
      </c>
      <c r="X247">
        <f>Settings!$B$6</f>
        <v/>
      </c>
    </row>
    <row r="248">
      <c r="A248" t="inlineStr">
        <is>
          <t>C 300-500 km</t>
        </is>
      </c>
      <c r="B248" t="inlineStr">
        <is>
          <t>15666330</t>
        </is>
      </c>
      <c r="C248" t="inlineStr">
        <is>
          <t>GEM/2025/B/6445454</t>
        </is>
      </c>
      <c r="D248" t="inlineStr">
        <is>
          <t>handling &amp; transport servi</t>
        </is>
      </c>
      <c r="E248" t="inlineStr">
        <is>
          <t>Coal transport (road)</t>
        </is>
      </c>
      <c r="F248" t="inlineStr">
        <is>
          <t>Western Coalfields Limited</t>
        </is>
      </c>
      <c r="G248" t="inlineStr">
        <is>
          <t>Maharashtra</t>
        </is>
      </c>
      <c r="H248" t="inlineStr">
        <is>
          <t>Chandrapur</t>
        </is>
      </c>
      <c r="I248" t="inlineStr">
        <is>
          <t>2025-07-31</t>
        </is>
      </c>
      <c r="J248" t="inlineStr">
        <is>
          <t>AOC</t>
        </is>
      </c>
      <c r="K248" t="inlineStr">
        <is>
          <t>Hanumant Construction Private Limited</t>
        </is>
      </c>
      <c r="L248" t="inlineStr"/>
      <c r="M248" t="inlineStr">
        <is>
          <t>5 named / 6</t>
        </is>
      </c>
      <c r="N248" t="n">
        <v>90.88</v>
      </c>
      <c r="O248" t="n">
        <v>477</v>
      </c>
      <c r="P248">
        <f>MAX(O248,Settings!$B$13)*Settings!$B$7</f>
        <v/>
      </c>
      <c r="Q248">
        <f>MAX(O248,Settings!$B$13)*Settings!$B$8</f>
        <v/>
      </c>
      <c r="R248" s="4">
        <f>MAX(P248*Settings!$B$5,IF(ISNUMBER(Settings!$B$12),Settings!$B$12,0))*(1+IF(Settings!$B$11="Y",0,Settings!$B$10/100))+N(Settings!$B$9)</f>
        <v/>
      </c>
      <c r="S248" s="4">
        <f>IF(Q248&gt;1000,"beyond table",IFERROR(LOOKUP(Q248,'FOIS 145A'!$A$2:$A$22,'FOIS 145A'!$C$2:$C$22),""))</f>
        <v/>
      </c>
      <c r="T248" s="4">
        <f>IF(ISNUMBER(S248),S248*(1+IF(Settings!$B$11="Y",0,Settings!$B$10/100))+2*N(Settings!$B$9),"")</f>
        <v/>
      </c>
      <c r="U248">
        <f>IF(ISNUMBER(T248),IF(T248&lt;R248,"Rail","Road"),"")</f>
        <v/>
      </c>
      <c r="V248" s="4">
        <f>IF(ISNUMBER(T248),ABS(R248-T248),"")</f>
        <v/>
      </c>
      <c r="W248">
        <f>IF(OR(ISNUMBER(SEARCH("siding",D248)),ISNUMBER(SEARCH("rcr",D248)),ISNUMBER(SEARCH("rail",D248)),ISNUMBER(SEARCH("wagon",D248))),"Yes - siding/rail in title","Check")</f>
        <v/>
      </c>
      <c r="X248">
        <f>Settings!$B$6</f>
        <v/>
      </c>
    </row>
    <row r="249">
      <c r="A249" t="inlineStr">
        <is>
          <t>C 300-500 km</t>
        </is>
      </c>
      <c r="B249" t="inlineStr">
        <is>
          <t>12512789</t>
        </is>
      </c>
      <c r="C249" t="inlineStr">
        <is>
          <t>GEM/2025/B/5807637</t>
        </is>
      </c>
      <c r="D249" t="inlineStr">
        <is>
          <t>handling &amp; transport servi</t>
        </is>
      </c>
      <c r="E249" t="inlineStr">
        <is>
          <t>Coal transport (road)</t>
        </is>
      </c>
      <c r="F249" t="inlineStr">
        <is>
          <t>Western Coalfields Limited</t>
        </is>
      </c>
      <c r="G249" t="inlineStr">
        <is>
          <t>Maharashtra</t>
        </is>
      </c>
      <c r="H249" t="inlineStr">
        <is>
          <t>Chandrapur</t>
        </is>
      </c>
      <c r="I249" t="inlineStr">
        <is>
          <t>2025-01-27</t>
        </is>
      </c>
      <c r="J249" t="inlineStr">
        <is>
          <t>AOC</t>
        </is>
      </c>
      <c r="K249" t="inlineStr">
        <is>
          <t>A R Construction</t>
        </is>
      </c>
      <c r="L249" t="inlineStr">
        <is>
          <t>Saikrupa Coal Supplier</t>
        </is>
      </c>
      <c r="M249" t="inlineStr">
        <is>
          <t>5 named / 7</t>
        </is>
      </c>
      <c r="N249" t="n">
        <v>59.85</v>
      </c>
      <c r="O249" t="n">
        <v>477</v>
      </c>
      <c r="P249">
        <f>MAX(O249,Settings!$B$13)*Settings!$B$7</f>
        <v/>
      </c>
      <c r="Q249">
        <f>MAX(O249,Settings!$B$13)*Settings!$B$8</f>
        <v/>
      </c>
      <c r="R249" s="4">
        <f>MAX(P249*Settings!$B$5,IF(ISNUMBER(Settings!$B$12),Settings!$B$12,0))*(1+IF(Settings!$B$11="Y",0,Settings!$B$10/100))+N(Settings!$B$9)</f>
        <v/>
      </c>
      <c r="S249" s="4">
        <f>IF(Q249&gt;1000,"beyond table",IFERROR(LOOKUP(Q249,'FOIS 145A'!$A$2:$A$22,'FOIS 145A'!$C$2:$C$22),""))</f>
        <v/>
      </c>
      <c r="T249" s="4">
        <f>IF(ISNUMBER(S249),S249*(1+IF(Settings!$B$11="Y",0,Settings!$B$10/100))+2*N(Settings!$B$9),"")</f>
        <v/>
      </c>
      <c r="U249">
        <f>IF(ISNUMBER(T249),IF(T249&lt;R249,"Rail","Road"),"")</f>
        <v/>
      </c>
      <c r="V249" s="4">
        <f>IF(ISNUMBER(T249),ABS(R249-T249),"")</f>
        <v/>
      </c>
      <c r="W249">
        <f>IF(OR(ISNUMBER(SEARCH("siding",D249)),ISNUMBER(SEARCH("rcr",D249)),ISNUMBER(SEARCH("rail",D249)),ISNUMBER(SEARCH("wagon",D249))),"Yes - siding/rail in title","Check")</f>
        <v/>
      </c>
      <c r="X249">
        <f>Settings!$B$6</f>
        <v/>
      </c>
    </row>
    <row r="250">
      <c r="A250" t="inlineStr">
        <is>
          <t>C 300-500 km</t>
        </is>
      </c>
      <c r="B250" t="inlineStr">
        <is>
          <t>18224464</t>
        </is>
      </c>
      <c r="C250" t="inlineStr">
        <is>
          <t>GEM/2026/B/7841110</t>
        </is>
      </c>
      <c r="D250" t="inlineStr">
        <is>
          <t>handling service, loading of coal into wagons at ghugus old and new railway sidings, ghugus sub area, wani area</t>
        </is>
      </c>
      <c r="E250" t="inlineStr">
        <is>
          <t>Loading / handling / crushing</t>
        </is>
      </c>
      <c r="F250" t="inlineStr">
        <is>
          <t>Western Coalfields Limited</t>
        </is>
      </c>
      <c r="G250" t="inlineStr">
        <is>
          <t>Maharashtra</t>
        </is>
      </c>
      <c r="H250" t="inlineStr">
        <is>
          <t>Chandrapur</t>
        </is>
      </c>
      <c r="I250" t="inlineStr">
        <is>
          <t>2026-08-11</t>
        </is>
      </c>
      <c r="J250" t="inlineStr">
        <is>
          <t>AOC</t>
        </is>
      </c>
      <c r="K250" t="inlineStr">
        <is>
          <t>Hindustan Trade Overseas Private Limited</t>
        </is>
      </c>
      <c r="L250" t="inlineStr"/>
      <c r="M250" t="inlineStr">
        <is>
          <t>5 named / 14</t>
        </is>
      </c>
      <c r="N250" t="n">
        <v>31</v>
      </c>
      <c r="O250" t="n">
        <v>477</v>
      </c>
      <c r="P250">
        <f>MAX(O250,Settings!$B$13)*Settings!$B$7</f>
        <v/>
      </c>
      <c r="Q250">
        <f>MAX(O250,Settings!$B$13)*Settings!$B$8</f>
        <v/>
      </c>
      <c r="R250" s="4">
        <f>MAX(P250*Settings!$B$5,IF(ISNUMBER(Settings!$B$12),Settings!$B$12,0))*(1+IF(Settings!$B$11="Y",0,Settings!$B$10/100))+N(Settings!$B$9)</f>
        <v/>
      </c>
      <c r="S250" s="4">
        <f>IF(Q250&gt;1000,"beyond table",IFERROR(LOOKUP(Q250,'FOIS 145A'!$A$2:$A$22,'FOIS 145A'!$C$2:$C$22),""))</f>
        <v/>
      </c>
      <c r="T250" s="4">
        <f>IF(ISNUMBER(S250),S250*(1+IF(Settings!$B$11="Y",0,Settings!$B$10/100))+2*N(Settings!$B$9),"")</f>
        <v/>
      </c>
      <c r="U250">
        <f>IF(ISNUMBER(T250),IF(T250&lt;R250,"Rail","Road"),"")</f>
        <v/>
      </c>
      <c r="V250" s="4">
        <f>IF(ISNUMBER(T250),ABS(R250-T250),"")</f>
        <v/>
      </c>
      <c r="W250">
        <f>IF(OR(ISNUMBER(SEARCH("siding",D250)),ISNUMBER(SEARCH("rcr",D250)),ISNUMBER(SEARCH("rail",D250)),ISNUMBER(SEARCH("wagon",D250))),"Yes - siding/rail in title","Check")</f>
        <v/>
      </c>
      <c r="X250">
        <f>Settings!$B$6</f>
        <v/>
      </c>
    </row>
    <row r="251">
      <c r="A251" t="inlineStr">
        <is>
          <t>C 300-500 km</t>
        </is>
      </c>
      <c r="B251" t="inlineStr">
        <is>
          <t>16786365</t>
        </is>
      </c>
      <c r="C251" t="inlineStr">
        <is>
          <t>GEM/2026/B/7152852</t>
        </is>
      </c>
      <c r="D251" t="inlineStr">
        <is>
          <t>handling service, loading of coal into wagons by hired pay loaders at mungoli sub area of wani area</t>
        </is>
      </c>
      <c r="E251" t="inlineStr">
        <is>
          <t>Loading / handling / crushing</t>
        </is>
      </c>
      <c r="F251" t="inlineStr">
        <is>
          <t>Western Coalfields Limited</t>
        </is>
      </c>
      <c r="G251" t="inlineStr">
        <is>
          <t>Maharashtra</t>
        </is>
      </c>
      <c r="H251" t="inlineStr">
        <is>
          <t>Chandrapur</t>
        </is>
      </c>
      <c r="I251" t="inlineStr">
        <is>
          <t>2026-02-12</t>
        </is>
      </c>
      <c r="J251" t="inlineStr">
        <is>
          <t>AOC</t>
        </is>
      </c>
      <c r="K251" t="inlineStr">
        <is>
          <t>Jsm Infralinks</t>
        </is>
      </c>
      <c r="L251" t="inlineStr"/>
      <c r="M251" t="inlineStr">
        <is>
          <t>5 named / 6</t>
        </is>
      </c>
      <c r="N251" t="n">
        <v>6.82</v>
      </c>
      <c r="O251" t="n">
        <v>477</v>
      </c>
      <c r="P251">
        <f>MAX(O251,Settings!$B$13)*Settings!$B$7</f>
        <v/>
      </c>
      <c r="Q251">
        <f>MAX(O251,Settings!$B$13)*Settings!$B$8</f>
        <v/>
      </c>
      <c r="R251" s="4">
        <f>MAX(P251*Settings!$B$5,IF(ISNUMBER(Settings!$B$12),Settings!$B$12,0))*(1+IF(Settings!$B$11="Y",0,Settings!$B$10/100))+N(Settings!$B$9)</f>
        <v/>
      </c>
      <c r="S251" s="4">
        <f>IF(Q251&gt;1000,"beyond table",IFERROR(LOOKUP(Q251,'FOIS 145A'!$A$2:$A$22,'FOIS 145A'!$C$2:$C$22),""))</f>
        <v/>
      </c>
      <c r="T251" s="4">
        <f>IF(ISNUMBER(S251),S251*(1+IF(Settings!$B$11="Y",0,Settings!$B$10/100))+2*N(Settings!$B$9),"")</f>
        <v/>
      </c>
      <c r="U251">
        <f>IF(ISNUMBER(T251),IF(T251&lt;R251,"Rail","Road"),"")</f>
        <v/>
      </c>
      <c r="V251" s="4">
        <f>IF(ISNUMBER(T251),ABS(R251-T251),"")</f>
        <v/>
      </c>
      <c r="W251">
        <f>IF(OR(ISNUMBER(SEARCH("siding",D251)),ISNUMBER(SEARCH("rcr",D251)),ISNUMBER(SEARCH("rail",D251)),ISNUMBER(SEARCH("wagon",D251))),"Yes - siding/rail in title","Check")</f>
        <v/>
      </c>
      <c r="X251">
        <f>Settings!$B$6</f>
        <v/>
      </c>
    </row>
    <row r="252">
      <c r="A252" t="inlineStr">
        <is>
          <t>C 300-500 km</t>
        </is>
      </c>
      <c r="B252" t="inlineStr">
        <is>
          <t>17893585</t>
        </is>
      </c>
      <c r="C252" t="inlineStr">
        <is>
          <t>GEM/2026/B/7564648</t>
        </is>
      </c>
      <c r="D252" t="inlineStr">
        <is>
          <t>handling &amp; transport service, ob removal, coal extraction, hoe works at gadegaon oc mine of wani area</t>
        </is>
      </c>
      <c r="E252" t="inlineStr">
        <is>
          <t>Mining services (OB / extraction)</t>
        </is>
      </c>
      <c r="F252" t="inlineStr">
        <is>
          <t>Western Coalfields Limited</t>
        </is>
      </c>
      <c r="G252" t="inlineStr">
        <is>
          <t>Maharashtra</t>
        </is>
      </c>
      <c r="H252" t="inlineStr">
        <is>
          <t>Chandrapur</t>
        </is>
      </c>
      <c r="I252" t="inlineStr">
        <is>
          <t>2026-06-25</t>
        </is>
      </c>
      <c r="J252" t="inlineStr">
        <is>
          <t>Financial</t>
        </is>
      </c>
      <c r="K252" t="inlineStr">
        <is>
          <t>-</t>
        </is>
      </c>
      <c r="L252" t="inlineStr"/>
      <c r="M252" t="inlineStr">
        <is>
          <t>5 named / 13</t>
        </is>
      </c>
      <c r="O252" t="n">
        <v>477</v>
      </c>
      <c r="P252">
        <f>MAX(O252,Settings!$B$13)*Settings!$B$7</f>
        <v/>
      </c>
      <c r="Q252">
        <f>MAX(O252,Settings!$B$13)*Settings!$B$8</f>
        <v/>
      </c>
      <c r="R252" s="4">
        <f>MAX(P252*Settings!$B$5,IF(ISNUMBER(Settings!$B$12),Settings!$B$12,0))*(1+IF(Settings!$B$11="Y",0,Settings!$B$10/100))+N(Settings!$B$9)</f>
        <v/>
      </c>
      <c r="S252" s="4">
        <f>IF(Q252&gt;1000,"beyond table",IFERROR(LOOKUP(Q252,'FOIS 145A'!$A$2:$A$22,'FOIS 145A'!$C$2:$C$22),""))</f>
        <v/>
      </c>
      <c r="T252" s="4">
        <f>IF(ISNUMBER(S252),S252*(1+IF(Settings!$B$11="Y",0,Settings!$B$10/100))+2*N(Settings!$B$9),"")</f>
        <v/>
      </c>
      <c r="U252">
        <f>IF(ISNUMBER(T252),IF(T252&lt;R252,"Rail","Road"),"")</f>
        <v/>
      </c>
      <c r="V252" s="4">
        <f>IF(ISNUMBER(T252),ABS(R252-T252),"")</f>
        <v/>
      </c>
      <c r="W252">
        <f>IF(OR(ISNUMBER(SEARCH("siding",D252)),ISNUMBER(SEARCH("rcr",D252)),ISNUMBER(SEARCH("rail",D252)),ISNUMBER(SEARCH("wagon",D252))),"Yes - siding/rail in title","Check")</f>
        <v/>
      </c>
      <c r="X252">
        <f>Settings!$B$6</f>
        <v/>
      </c>
    </row>
    <row r="253">
      <c r="A253" t="inlineStr">
        <is>
          <t>C 300-500 km</t>
        </is>
      </c>
      <c r="B253" t="inlineStr">
        <is>
          <t>17489130</t>
        </is>
      </c>
      <c r="C253" t="inlineStr">
        <is>
          <t>GEM/2026/B/7372231</t>
        </is>
      </c>
      <c r="D253" t="inlineStr">
        <is>
          <t>ob removal, coal extraction, hoe works at kolgaon expansion deep oc mine of wani area</t>
        </is>
      </c>
      <c r="E253" t="inlineStr">
        <is>
          <t>Mining services (OB / extraction)</t>
        </is>
      </c>
      <c r="F253" t="inlineStr">
        <is>
          <t>Western Coalfields Limited</t>
        </is>
      </c>
      <c r="G253" t="inlineStr">
        <is>
          <t>Maharashtra</t>
        </is>
      </c>
      <c r="H253" t="inlineStr">
        <is>
          <t>Chandrapur</t>
        </is>
      </c>
      <c r="I253" t="inlineStr">
        <is>
          <t>2026-04-06</t>
        </is>
      </c>
      <c r="J253" t="inlineStr">
        <is>
          <t>AOC</t>
        </is>
      </c>
      <c r="K253" t="inlineStr">
        <is>
          <t>Kvrr Infrastructure Private Limited</t>
        </is>
      </c>
      <c r="L253" t="inlineStr"/>
      <c r="M253" t="inlineStr">
        <is>
          <t>5 named / 16</t>
        </is>
      </c>
      <c r="N253" t="n">
        <v>194.73</v>
      </c>
      <c r="O253" t="n">
        <v>477</v>
      </c>
      <c r="P253">
        <f>MAX(O253,Settings!$B$13)*Settings!$B$7</f>
        <v/>
      </c>
      <c r="Q253">
        <f>MAX(O253,Settings!$B$13)*Settings!$B$8</f>
        <v/>
      </c>
      <c r="R253" s="4">
        <f>MAX(P253*Settings!$B$5,IF(ISNUMBER(Settings!$B$12),Settings!$B$12,0))*(1+IF(Settings!$B$11="Y",0,Settings!$B$10/100))+N(Settings!$B$9)</f>
        <v/>
      </c>
      <c r="S253" s="4">
        <f>IF(Q253&gt;1000,"beyond table",IFERROR(LOOKUP(Q253,'FOIS 145A'!$A$2:$A$22,'FOIS 145A'!$C$2:$C$22),""))</f>
        <v/>
      </c>
      <c r="T253" s="4">
        <f>IF(ISNUMBER(S253),S253*(1+IF(Settings!$B$11="Y",0,Settings!$B$10/100))+2*N(Settings!$B$9),"")</f>
        <v/>
      </c>
      <c r="U253">
        <f>IF(ISNUMBER(T253),IF(T253&lt;R253,"Rail","Road"),"")</f>
        <v/>
      </c>
      <c r="V253" s="4">
        <f>IF(ISNUMBER(T253),ABS(R253-T253),"")</f>
        <v/>
      </c>
      <c r="W253">
        <f>IF(OR(ISNUMBER(SEARCH("siding",D253)),ISNUMBER(SEARCH("rcr",D253)),ISNUMBER(SEARCH("rail",D253)),ISNUMBER(SEARCH("wagon",D253))),"Yes - siding/rail in title","Check")</f>
        <v/>
      </c>
      <c r="X253">
        <f>Settings!$B$6</f>
        <v/>
      </c>
    </row>
    <row r="254">
      <c r="A254" t="inlineStr">
        <is>
          <t>C 300-500 km</t>
        </is>
      </c>
      <c r="B254" t="inlineStr">
        <is>
          <t>16954202</t>
        </is>
      </c>
      <c r="C254" t="inlineStr">
        <is>
          <t>GEM/2026/B/7238094</t>
        </is>
      </c>
      <c r="D254" t="inlineStr">
        <is>
          <t>ob removal, coal extraction, hoe work at dhoptala (sasti ug to oc) mine of ballarpur area wcl</t>
        </is>
      </c>
      <c r="E254" t="inlineStr">
        <is>
          <t>Mining services (OB / extraction)</t>
        </is>
      </c>
      <c r="F254" t="inlineStr">
        <is>
          <t>Western Coalfields Limited</t>
        </is>
      </c>
      <c r="G254" t="inlineStr">
        <is>
          <t>Maharashtra</t>
        </is>
      </c>
      <c r="H254" t="inlineStr">
        <is>
          <t>Chandrapur</t>
        </is>
      </c>
      <c r="I254" t="inlineStr">
        <is>
          <t>2026-03-02</t>
        </is>
      </c>
      <c r="J254" t="inlineStr">
        <is>
          <t>AOC</t>
        </is>
      </c>
      <c r="K254" t="inlineStr">
        <is>
          <t>Caliber Mining And Logistics Limited</t>
        </is>
      </c>
      <c r="L254" t="inlineStr">
        <is>
          <t>Caliber Mining and Logistics</t>
        </is>
      </c>
      <c r="M254" t="inlineStr">
        <is>
          <t>5 named / 14</t>
        </is>
      </c>
      <c r="N254" t="n">
        <v>1035.58</v>
      </c>
      <c r="O254" t="n">
        <v>477</v>
      </c>
      <c r="P254">
        <f>MAX(O254,Settings!$B$13)*Settings!$B$7</f>
        <v/>
      </c>
      <c r="Q254">
        <f>MAX(O254,Settings!$B$13)*Settings!$B$8</f>
        <v/>
      </c>
      <c r="R254" s="4">
        <f>MAX(P254*Settings!$B$5,IF(ISNUMBER(Settings!$B$12),Settings!$B$12,0))*(1+IF(Settings!$B$11="Y",0,Settings!$B$10/100))+N(Settings!$B$9)</f>
        <v/>
      </c>
      <c r="S254" s="4">
        <f>IF(Q254&gt;1000,"beyond table",IFERROR(LOOKUP(Q254,'FOIS 145A'!$A$2:$A$22,'FOIS 145A'!$C$2:$C$22),""))</f>
        <v/>
      </c>
      <c r="T254" s="4">
        <f>IF(ISNUMBER(S254),S254*(1+IF(Settings!$B$11="Y",0,Settings!$B$10/100))+2*N(Settings!$B$9),"")</f>
        <v/>
      </c>
      <c r="U254">
        <f>IF(ISNUMBER(T254),IF(T254&lt;R254,"Rail","Road"),"")</f>
        <v/>
      </c>
      <c r="V254" s="4">
        <f>IF(ISNUMBER(T254),ABS(R254-T254),"")</f>
        <v/>
      </c>
      <c r="W254">
        <f>IF(OR(ISNUMBER(SEARCH("siding",D254)),ISNUMBER(SEARCH("rcr",D254)),ISNUMBER(SEARCH("rail",D254)),ISNUMBER(SEARCH("wagon",D254))),"Yes - siding/rail in title","Check")</f>
        <v/>
      </c>
      <c r="X254">
        <f>Settings!$B$6</f>
        <v/>
      </c>
    </row>
    <row r="255">
      <c r="A255" t="inlineStr">
        <is>
          <t>C 300-500 km</t>
        </is>
      </c>
      <c r="B255" t="inlineStr">
        <is>
          <t>15737094</t>
        </is>
      </c>
      <c r="C255" t="inlineStr">
        <is>
          <t>GEM/2025/B/6692220</t>
        </is>
      </c>
      <c r="D255" t="inlineStr">
        <is>
          <t>ob removal, coal extraction, hoe work at gauri-pauni expansion oc mine of ballarpur area</t>
        </is>
      </c>
      <c r="E255" t="inlineStr">
        <is>
          <t>Mining services (OB / extraction)</t>
        </is>
      </c>
      <c r="F255" t="inlineStr">
        <is>
          <t>Western Coalfields Limited</t>
        </is>
      </c>
      <c r="G255" t="inlineStr">
        <is>
          <t>Maharashtra</t>
        </is>
      </c>
      <c r="H255" t="inlineStr">
        <is>
          <t>Chandrapur</t>
        </is>
      </c>
      <c r="I255" t="inlineStr">
        <is>
          <t>2025-11-01</t>
        </is>
      </c>
      <c r="J255" t="inlineStr">
        <is>
          <t>AOC</t>
        </is>
      </c>
      <c r="K255" t="inlineStr">
        <is>
          <t>Caliber Mining And Logistics Limited</t>
        </is>
      </c>
      <c r="L255" t="inlineStr">
        <is>
          <t>Caliber Mining and Logistics</t>
        </is>
      </c>
      <c r="M255" t="inlineStr">
        <is>
          <t>5 named / 17</t>
        </is>
      </c>
      <c r="N255" t="n">
        <v>1912.27</v>
      </c>
      <c r="O255" t="n">
        <v>477</v>
      </c>
      <c r="P255">
        <f>MAX(O255,Settings!$B$13)*Settings!$B$7</f>
        <v/>
      </c>
      <c r="Q255">
        <f>MAX(O255,Settings!$B$13)*Settings!$B$8</f>
        <v/>
      </c>
      <c r="R255" s="4">
        <f>MAX(P255*Settings!$B$5,IF(ISNUMBER(Settings!$B$12),Settings!$B$12,0))*(1+IF(Settings!$B$11="Y",0,Settings!$B$10/100))+N(Settings!$B$9)</f>
        <v/>
      </c>
      <c r="S255" s="4">
        <f>IF(Q255&gt;1000,"beyond table",IFERROR(LOOKUP(Q255,'FOIS 145A'!$A$2:$A$22,'FOIS 145A'!$C$2:$C$22),""))</f>
        <v/>
      </c>
      <c r="T255" s="4">
        <f>IF(ISNUMBER(S255),S255*(1+IF(Settings!$B$11="Y",0,Settings!$B$10/100))+2*N(Settings!$B$9),"")</f>
        <v/>
      </c>
      <c r="U255">
        <f>IF(ISNUMBER(T255),IF(T255&lt;R255,"Rail","Road"),"")</f>
        <v/>
      </c>
      <c r="V255" s="4">
        <f>IF(ISNUMBER(T255),ABS(R255-T255),"")</f>
        <v/>
      </c>
      <c r="W255">
        <f>IF(OR(ISNUMBER(SEARCH("siding",D255)),ISNUMBER(SEARCH("rcr",D255)),ISNUMBER(SEARCH("rail",D255)),ISNUMBER(SEARCH("wagon",D255))),"Yes - siding/rail in title","Check")</f>
        <v/>
      </c>
      <c r="X255">
        <f>Settings!$B$6</f>
        <v/>
      </c>
    </row>
    <row r="256">
      <c r="A256" t="inlineStr">
        <is>
          <t>C 300-500 km</t>
        </is>
      </c>
      <c r="B256" t="inlineStr">
        <is>
          <t>13936252</t>
        </is>
      </c>
      <c r="C256" t="inlineStr">
        <is>
          <t>GEM/2025/B/6160358</t>
        </is>
      </c>
      <c r="D256" t="inlineStr">
        <is>
          <t>ob removal, coal extractio</t>
        </is>
      </c>
      <c r="E256" t="inlineStr">
        <is>
          <t>Mining services (OB / extraction)</t>
        </is>
      </c>
      <c r="F256" t="inlineStr">
        <is>
          <t>Western Coalfields Limited</t>
        </is>
      </c>
      <c r="G256" t="inlineStr">
        <is>
          <t>Maharashtra</t>
        </is>
      </c>
      <c r="H256" t="inlineStr">
        <is>
          <t>Chandrapur</t>
        </is>
      </c>
      <c r="I256" t="inlineStr">
        <is>
          <t>2025-05-29</t>
        </is>
      </c>
      <c r="J256" t="inlineStr">
        <is>
          <t>AOC</t>
        </is>
      </c>
      <c r="K256" t="inlineStr">
        <is>
          <t>Ajantha Radha Earth Movers Private Limited</t>
        </is>
      </c>
      <c r="L256" t="inlineStr">
        <is>
          <t>Caliber Mining and Logistics</t>
        </is>
      </c>
      <c r="M256" t="inlineStr">
        <is>
          <t>5 named / 20</t>
        </is>
      </c>
      <c r="N256" t="n">
        <v>669.89</v>
      </c>
      <c r="O256" t="n">
        <v>477</v>
      </c>
      <c r="P256">
        <f>MAX(O256,Settings!$B$13)*Settings!$B$7</f>
        <v/>
      </c>
      <c r="Q256">
        <f>MAX(O256,Settings!$B$13)*Settings!$B$8</f>
        <v/>
      </c>
      <c r="R256" s="4">
        <f>MAX(P256*Settings!$B$5,IF(ISNUMBER(Settings!$B$12),Settings!$B$12,0))*(1+IF(Settings!$B$11="Y",0,Settings!$B$10/100))+N(Settings!$B$9)</f>
        <v/>
      </c>
      <c r="S256" s="4">
        <f>IF(Q256&gt;1000,"beyond table",IFERROR(LOOKUP(Q256,'FOIS 145A'!$A$2:$A$22,'FOIS 145A'!$C$2:$C$22),""))</f>
        <v/>
      </c>
      <c r="T256" s="4">
        <f>IF(ISNUMBER(S256),S256*(1+IF(Settings!$B$11="Y",0,Settings!$B$10/100))+2*N(Settings!$B$9),"")</f>
        <v/>
      </c>
      <c r="U256">
        <f>IF(ISNUMBER(T256),IF(T256&lt;R256,"Rail","Road"),"")</f>
        <v/>
      </c>
      <c r="V256" s="4">
        <f>IF(ISNUMBER(T256),ABS(R256-T256),"")</f>
        <v/>
      </c>
      <c r="W256">
        <f>IF(OR(ISNUMBER(SEARCH("siding",D256)),ISNUMBER(SEARCH("rcr",D256)),ISNUMBER(SEARCH("rail",D256)),ISNUMBER(SEARCH("wagon",D256))),"Yes - siding/rail in title","Check")</f>
        <v/>
      </c>
      <c r="X256">
        <f>Settings!$B$6</f>
        <v/>
      </c>
    </row>
    <row r="257">
      <c r="A257" t="inlineStr">
        <is>
          <t>C 300-500 km</t>
        </is>
      </c>
      <c r="B257" t="inlineStr">
        <is>
          <t>15029665</t>
        </is>
      </c>
      <c r="C257" t="inlineStr">
        <is>
          <t>GEM/2025/B/6487912</t>
        </is>
      </c>
      <c r="D257" t="inlineStr">
        <is>
          <t>biennial contract for manual unloading of coal wagons at ntpc barauni chp</t>
        </is>
      </c>
      <c r="E257" t="inlineStr">
        <is>
          <t>Loading / handling / crushing</t>
        </is>
      </c>
      <c r="F257" t="inlineStr">
        <is>
          <t>National Thermal Power Corporation Limited</t>
        </is>
      </c>
      <c r="G257" t="inlineStr">
        <is>
          <t>Bihar</t>
        </is>
      </c>
      <c r="H257" t="inlineStr">
        <is>
          <t>Begusarai</t>
        </is>
      </c>
      <c r="I257" t="inlineStr">
        <is>
          <t>2025-08-14</t>
        </is>
      </c>
      <c r="J257" t="inlineStr">
        <is>
          <t>AOC</t>
        </is>
      </c>
      <c r="K257" t="inlineStr">
        <is>
          <t>Siyaram Construction</t>
        </is>
      </c>
      <c r="L257" t="inlineStr"/>
      <c r="M257" t="inlineStr">
        <is>
          <t>5 named / 9</t>
        </is>
      </c>
      <c r="N257" t="n">
        <v>9.630000000000001</v>
      </c>
      <c r="O257" t="n">
        <v>480</v>
      </c>
      <c r="P257">
        <f>MAX(O257,Settings!$B$13)*Settings!$B$7</f>
        <v/>
      </c>
      <c r="Q257">
        <f>MAX(O257,Settings!$B$13)*Settings!$B$8</f>
        <v/>
      </c>
      <c r="R257" s="4">
        <f>MAX(P257*Settings!$B$5,IF(ISNUMBER(Settings!$B$12),Settings!$B$12,0))*(1+IF(Settings!$B$11="Y",0,Settings!$B$10/100))+N(Settings!$B$9)</f>
        <v/>
      </c>
      <c r="S257" s="4">
        <f>IF(Q257&gt;1000,"beyond table",IFERROR(LOOKUP(Q257,'FOIS 145A'!$A$2:$A$22,'FOIS 145A'!$C$2:$C$22),""))</f>
        <v/>
      </c>
      <c r="T257" s="4">
        <f>IF(ISNUMBER(S257),S257*(1+IF(Settings!$B$11="Y",0,Settings!$B$10/100))+2*N(Settings!$B$9),"")</f>
        <v/>
      </c>
      <c r="U257">
        <f>IF(ISNUMBER(T257),IF(T257&lt;R257,"Rail","Road"),"")</f>
        <v/>
      </c>
      <c r="V257" s="4">
        <f>IF(ISNUMBER(T257),ABS(R257-T257),"")</f>
        <v/>
      </c>
      <c r="W257">
        <f>IF(OR(ISNUMBER(SEARCH("siding",D257)),ISNUMBER(SEARCH("rcr",D257)),ISNUMBER(SEARCH("rail",D257)),ISNUMBER(SEARCH("wagon",D257))),"Yes - siding/rail in title","Check")</f>
        <v/>
      </c>
      <c r="X257">
        <f>Settings!$B$6</f>
        <v/>
      </c>
    </row>
    <row r="258">
      <c r="A258" t="inlineStr">
        <is>
          <t>C 300-500 km</t>
        </is>
      </c>
      <c r="B258" t="inlineStr">
        <is>
          <t>15728290</t>
        </is>
      </c>
      <c r="C258" t="inlineStr">
        <is>
          <t>GEM/2025/B/6888474</t>
        </is>
      </c>
      <c r="D258" t="inlineStr">
        <is>
          <t>loading, crushing &amp; transportation of coal to siding</t>
        </is>
      </c>
      <c r="E258" t="inlineStr">
        <is>
          <t>Coal transport (RCR / siding)</t>
        </is>
      </c>
      <c r="F258" t="inlineStr">
        <is>
          <t>Eastern Coal Fields Limited</t>
        </is>
      </c>
      <c r="G258" t="inlineStr">
        <is>
          <t>West Bengal</t>
        </is>
      </c>
      <c r="H258" t="inlineStr">
        <is>
          <t>Bardhaman</t>
        </is>
      </c>
      <c r="I258" t="inlineStr">
        <is>
          <t>2025-11-28</t>
        </is>
      </c>
      <c r="J258" t="inlineStr">
        <is>
          <t>AOC</t>
        </is>
      </c>
      <c r="K258" t="inlineStr">
        <is>
          <t>M/S United Coal Carriers</t>
        </is>
      </c>
      <c r="L258" t="inlineStr">
        <is>
          <t>United Coal Carriers</t>
        </is>
      </c>
      <c r="M258" t="inlineStr">
        <is>
          <t>3 named / 3</t>
        </is>
      </c>
      <c r="N258" t="n">
        <v>0.62</v>
      </c>
      <c r="O258" t="n">
        <v>482</v>
      </c>
      <c r="P258">
        <f>MAX(O258,Settings!$B$13)*Settings!$B$7</f>
        <v/>
      </c>
      <c r="Q258">
        <f>MAX(O258,Settings!$B$13)*Settings!$B$8</f>
        <v/>
      </c>
      <c r="R258" s="4">
        <f>MAX(P258*Settings!$B$5,IF(ISNUMBER(Settings!$B$12),Settings!$B$12,0))*(1+IF(Settings!$B$11="Y",0,Settings!$B$10/100))+N(Settings!$B$9)</f>
        <v/>
      </c>
      <c r="S258" s="4">
        <f>IF(Q258&gt;1000,"beyond table",IFERROR(LOOKUP(Q258,'FOIS 145A'!$A$2:$A$22,'FOIS 145A'!$C$2:$C$22),""))</f>
        <v/>
      </c>
      <c r="T258" s="4">
        <f>IF(ISNUMBER(S258),S258*(1+IF(Settings!$B$11="Y",0,Settings!$B$10/100))+2*N(Settings!$B$9),"")</f>
        <v/>
      </c>
      <c r="U258">
        <f>IF(ISNUMBER(T258),IF(T258&lt;R258,"Rail","Road"),"")</f>
        <v/>
      </c>
      <c r="V258" s="4">
        <f>IF(ISNUMBER(T258),ABS(R258-T258),"")</f>
        <v/>
      </c>
      <c r="W258">
        <f>IF(OR(ISNUMBER(SEARCH("siding",D258)),ISNUMBER(SEARCH("rcr",D258)),ISNUMBER(SEARCH("rail",D258)),ISNUMBER(SEARCH("wagon",D258))),"Yes - siding/rail in title","Check")</f>
        <v/>
      </c>
      <c r="X258">
        <f>Settings!$B$6</f>
        <v/>
      </c>
    </row>
    <row r="259">
      <c r="A259" t="inlineStr">
        <is>
          <t>C 300-500 km</t>
        </is>
      </c>
      <c r="B259" t="inlineStr">
        <is>
          <t>16396221</t>
        </is>
      </c>
      <c r="C259" t="inlineStr">
        <is>
          <t>GEM/2025/B/7053538</t>
        </is>
      </c>
      <c r="D259" t="inlineStr">
        <is>
          <t>extraction, loading, transportation crushing of coal</t>
        </is>
      </c>
      <c r="E259" t="inlineStr">
        <is>
          <t>Coal transport (road)</t>
        </is>
      </c>
      <c r="F259" t="inlineStr">
        <is>
          <t>Eastern Coal Fields Limited</t>
        </is>
      </c>
      <c r="G259" t="inlineStr">
        <is>
          <t>West Bengal</t>
        </is>
      </c>
      <c r="H259" t="inlineStr">
        <is>
          <t>Bardhaman</t>
        </is>
      </c>
      <c r="I259" t="inlineStr">
        <is>
          <t>2026-01-13</t>
        </is>
      </c>
      <c r="J259" t="inlineStr">
        <is>
          <t>AOC</t>
        </is>
      </c>
      <c r="K259" t="inlineStr">
        <is>
          <t>Om Sharda Logistics Private Limited</t>
        </is>
      </c>
      <c r="L259" t="inlineStr"/>
      <c r="M259" t="inlineStr">
        <is>
          <t>3 named / 3</t>
        </is>
      </c>
      <c r="N259" t="n">
        <v>13.21</v>
      </c>
      <c r="O259" t="n">
        <v>482</v>
      </c>
      <c r="P259">
        <f>MAX(O259,Settings!$B$13)*Settings!$B$7</f>
        <v/>
      </c>
      <c r="Q259">
        <f>MAX(O259,Settings!$B$13)*Settings!$B$8</f>
        <v/>
      </c>
      <c r="R259" s="4">
        <f>MAX(P259*Settings!$B$5,IF(ISNUMBER(Settings!$B$12),Settings!$B$12,0))*(1+IF(Settings!$B$11="Y",0,Settings!$B$10/100))+N(Settings!$B$9)</f>
        <v/>
      </c>
      <c r="S259" s="4">
        <f>IF(Q259&gt;1000,"beyond table",IFERROR(LOOKUP(Q259,'FOIS 145A'!$A$2:$A$22,'FOIS 145A'!$C$2:$C$22),""))</f>
        <v/>
      </c>
      <c r="T259" s="4">
        <f>IF(ISNUMBER(S259),S259*(1+IF(Settings!$B$11="Y",0,Settings!$B$10/100))+2*N(Settings!$B$9),"")</f>
        <v/>
      </c>
      <c r="U259">
        <f>IF(ISNUMBER(T259),IF(T259&lt;R259,"Rail","Road"),"")</f>
        <v/>
      </c>
      <c r="V259" s="4">
        <f>IF(ISNUMBER(T259),ABS(R259-T259),"")</f>
        <v/>
      </c>
      <c r="W259">
        <f>IF(OR(ISNUMBER(SEARCH("siding",D259)),ISNUMBER(SEARCH("rcr",D259)),ISNUMBER(SEARCH("rail",D259)),ISNUMBER(SEARCH("wagon",D259))),"Yes - siding/rail in title","Check")</f>
        <v/>
      </c>
      <c r="X259">
        <f>Settings!$B$6</f>
        <v/>
      </c>
    </row>
    <row r="260">
      <c r="A260" t="inlineStr">
        <is>
          <t>C 300-500 km</t>
        </is>
      </c>
      <c r="B260" t="inlineStr">
        <is>
          <t>16390905</t>
        </is>
      </c>
      <c r="C260" t="inlineStr">
        <is>
          <t>2026_DPL_990246_1</t>
        </is>
      </c>
      <c r="D260" t="inlineStr">
        <is>
          <t xml:space="preserve">proposal for  the job of engagement of coal liaisoning agency for supervision and sample witnessing at loading end of bccl collieries for a </t>
        </is>
      </c>
      <c r="E260" t="inlineStr">
        <is>
          <t>Loading / handling / crushing</t>
        </is>
      </c>
      <c r="F260" t="inlineStr">
        <is>
          <t>Durgapur Projects Limited</t>
        </is>
      </c>
      <c r="G260" t="inlineStr">
        <is>
          <t>West Bengal</t>
        </is>
      </c>
      <c r="H260" t="inlineStr">
        <is>
          <t>Bardhaman</t>
        </is>
      </c>
      <c r="I260" t="inlineStr">
        <is>
          <t>2026-02-03</t>
        </is>
      </c>
      <c r="J260" t="inlineStr">
        <is>
          <t>AOC</t>
        </is>
      </c>
      <c r="K260" t="inlineStr">
        <is>
          <t>Sangita Sales Private Limited</t>
        </is>
      </c>
      <c r="L260" t="inlineStr"/>
      <c r="M260" t="inlineStr">
        <is>
          <t>5 named / 9</t>
        </is>
      </c>
      <c r="N260" t="n">
        <v>1.45</v>
      </c>
      <c r="O260" t="n">
        <v>482</v>
      </c>
      <c r="P260">
        <f>MAX(O260,Settings!$B$13)*Settings!$B$7</f>
        <v/>
      </c>
      <c r="Q260">
        <f>MAX(O260,Settings!$B$13)*Settings!$B$8</f>
        <v/>
      </c>
      <c r="R260" s="4">
        <f>MAX(P260*Settings!$B$5,IF(ISNUMBER(Settings!$B$12),Settings!$B$12,0))*(1+IF(Settings!$B$11="Y",0,Settings!$B$10/100))+N(Settings!$B$9)</f>
        <v/>
      </c>
      <c r="S260" s="4">
        <f>IF(Q260&gt;1000,"beyond table",IFERROR(LOOKUP(Q260,'FOIS 145A'!$A$2:$A$22,'FOIS 145A'!$C$2:$C$22),""))</f>
        <v/>
      </c>
      <c r="T260" s="4">
        <f>IF(ISNUMBER(S260),S260*(1+IF(Settings!$B$11="Y",0,Settings!$B$10/100))+2*N(Settings!$B$9),"")</f>
        <v/>
      </c>
      <c r="U260">
        <f>IF(ISNUMBER(T260),IF(T260&lt;R260,"Rail","Road"),"")</f>
        <v/>
      </c>
      <c r="V260" s="4">
        <f>IF(ISNUMBER(T260),ABS(R260-T260),"")</f>
        <v/>
      </c>
      <c r="W260">
        <f>IF(OR(ISNUMBER(SEARCH("siding",D260)),ISNUMBER(SEARCH("rcr",D260)),ISNUMBER(SEARCH("rail",D260)),ISNUMBER(SEARCH("wagon",D260))),"Yes - siding/rail in title","Check")</f>
        <v/>
      </c>
      <c r="X260">
        <f>Settings!$B$6</f>
        <v/>
      </c>
    </row>
    <row r="261">
      <c r="A261" t="inlineStr">
        <is>
          <t>C 300-500 km</t>
        </is>
      </c>
      <c r="B261" t="inlineStr">
        <is>
          <t>14118126</t>
        </is>
      </c>
      <c r="C261" t="inlineStr">
        <is>
          <t>GEM/2025/B/6310435</t>
        </is>
      </c>
      <c r="D261" t="inlineStr">
        <is>
          <t>loading, crushing &amp; transp</t>
        </is>
      </c>
      <c r="E261" t="inlineStr">
        <is>
          <t>Loading / handling / crushing</t>
        </is>
      </c>
      <c r="F261" t="inlineStr">
        <is>
          <t>Eastern Coal Fields Limited</t>
        </is>
      </c>
      <c r="G261" t="inlineStr">
        <is>
          <t>West Bengal</t>
        </is>
      </c>
      <c r="H261" t="inlineStr">
        <is>
          <t>Bardhaman</t>
        </is>
      </c>
      <c r="I261" t="inlineStr">
        <is>
          <t>2025-06-14</t>
        </is>
      </c>
      <c r="J261" t="inlineStr">
        <is>
          <t>AOC</t>
        </is>
      </c>
      <c r="K261" t="inlineStr">
        <is>
          <t>M/S United Coal Carriers</t>
        </is>
      </c>
      <c r="L261" t="inlineStr">
        <is>
          <t>United Coal Carriers</t>
        </is>
      </c>
      <c r="M261" t="inlineStr">
        <is>
          <t>4 named / 4</t>
        </is>
      </c>
      <c r="N261" t="n">
        <v>2.55</v>
      </c>
      <c r="O261" t="n">
        <v>482</v>
      </c>
      <c r="P261">
        <f>MAX(O261,Settings!$B$13)*Settings!$B$7</f>
        <v/>
      </c>
      <c r="Q261">
        <f>MAX(O261,Settings!$B$13)*Settings!$B$8</f>
        <v/>
      </c>
      <c r="R261" s="4">
        <f>MAX(P261*Settings!$B$5,IF(ISNUMBER(Settings!$B$12),Settings!$B$12,0))*(1+IF(Settings!$B$11="Y",0,Settings!$B$10/100))+N(Settings!$B$9)</f>
        <v/>
      </c>
      <c r="S261" s="4">
        <f>IF(Q261&gt;1000,"beyond table",IFERROR(LOOKUP(Q261,'FOIS 145A'!$A$2:$A$22,'FOIS 145A'!$C$2:$C$22),""))</f>
        <v/>
      </c>
      <c r="T261" s="4">
        <f>IF(ISNUMBER(S261),S261*(1+IF(Settings!$B$11="Y",0,Settings!$B$10/100))+2*N(Settings!$B$9),"")</f>
        <v/>
      </c>
      <c r="U261">
        <f>IF(ISNUMBER(T261),IF(T261&lt;R261,"Rail","Road"),"")</f>
        <v/>
      </c>
      <c r="V261" s="4">
        <f>IF(ISNUMBER(T261),ABS(R261-T261),"")</f>
        <v/>
      </c>
      <c r="W261">
        <f>IF(OR(ISNUMBER(SEARCH("siding",D261)),ISNUMBER(SEARCH("rcr",D261)),ISNUMBER(SEARCH("rail",D261)),ISNUMBER(SEARCH("wagon",D261))),"Yes - siding/rail in title","Check")</f>
        <v/>
      </c>
      <c r="X261">
        <f>Settings!$B$6</f>
        <v/>
      </c>
    </row>
    <row r="262">
      <c r="A262" t="inlineStr">
        <is>
          <t>C 300-500 km</t>
        </is>
      </c>
      <c r="B262" t="inlineStr">
        <is>
          <t>17342309</t>
        </is>
      </c>
      <c r="C262" t="inlineStr">
        <is>
          <t>GEM/2026/B/7349884</t>
        </is>
      </c>
      <c r="D262" t="inlineStr">
        <is>
          <t>coal extraction, overburden removal, overburden rehandling, dewatering and additional coal extraction by highwall mining</t>
        </is>
      </c>
      <c r="E262" t="inlineStr">
        <is>
          <t>Mining services (OB / extraction)</t>
        </is>
      </c>
      <c r="F262" t="inlineStr">
        <is>
          <t>Eastern Coal Fields Limited</t>
        </is>
      </c>
      <c r="G262" t="inlineStr">
        <is>
          <t>West Bengal</t>
        </is>
      </c>
      <c r="H262" t="inlineStr">
        <is>
          <t>Bardhaman</t>
        </is>
      </c>
      <c r="I262" t="inlineStr">
        <is>
          <t>2026-04-09</t>
        </is>
      </c>
      <c r="J262" t="inlineStr">
        <is>
          <t>AOC</t>
        </is>
      </c>
      <c r="K262" t="inlineStr">
        <is>
          <t>United Coal Carriers</t>
        </is>
      </c>
      <c r="L262" t="inlineStr"/>
      <c r="M262" t="inlineStr">
        <is>
          <t>5 named / 8</t>
        </is>
      </c>
      <c r="N262" t="n">
        <v>450.99</v>
      </c>
      <c r="O262" t="n">
        <v>482</v>
      </c>
      <c r="P262">
        <f>MAX(O262,Settings!$B$13)*Settings!$B$7</f>
        <v/>
      </c>
      <c r="Q262">
        <f>MAX(O262,Settings!$B$13)*Settings!$B$8</f>
        <v/>
      </c>
      <c r="R262" s="4">
        <f>MAX(P262*Settings!$B$5,IF(ISNUMBER(Settings!$B$12),Settings!$B$12,0))*(1+IF(Settings!$B$11="Y",0,Settings!$B$10/100))+N(Settings!$B$9)</f>
        <v/>
      </c>
      <c r="S262" s="4">
        <f>IF(Q262&gt;1000,"beyond table",IFERROR(LOOKUP(Q262,'FOIS 145A'!$A$2:$A$22,'FOIS 145A'!$C$2:$C$22),""))</f>
        <v/>
      </c>
      <c r="T262" s="4">
        <f>IF(ISNUMBER(S262),S262*(1+IF(Settings!$B$11="Y",0,Settings!$B$10/100))+2*N(Settings!$B$9),"")</f>
        <v/>
      </c>
      <c r="U262">
        <f>IF(ISNUMBER(T262),IF(T262&lt;R262,"Rail","Road"),"")</f>
        <v/>
      </c>
      <c r="V262" s="4">
        <f>IF(ISNUMBER(T262),ABS(R262-T262),"")</f>
        <v/>
      </c>
      <c r="W262">
        <f>IF(OR(ISNUMBER(SEARCH("siding",D262)),ISNUMBER(SEARCH("rcr",D262)),ISNUMBER(SEARCH("rail",D262)),ISNUMBER(SEARCH("wagon",D262))),"Yes - siding/rail in title","Check")</f>
        <v/>
      </c>
      <c r="X262">
        <f>Settings!$B$6</f>
        <v/>
      </c>
    </row>
    <row r="263">
      <c r="A263" t="inlineStr">
        <is>
          <t>C 300-500 km</t>
        </is>
      </c>
      <c r="B263" t="inlineStr">
        <is>
          <t>15277015</t>
        </is>
      </c>
      <c r="C263" t="inlineStr">
        <is>
          <t>GEM/2025/B/6518865</t>
        </is>
      </c>
      <c r="D263" t="inlineStr">
        <is>
          <t>handling ,transport and other mining services - percentagequote based - hiring of hemm for removal of overburdonand extraction of coal</t>
        </is>
      </c>
      <c r="E263" t="inlineStr">
        <is>
          <t>Mining services (OB / extraction)</t>
        </is>
      </c>
      <c r="F263" t="inlineStr">
        <is>
          <t>Eastern Coal Fields Limited</t>
        </is>
      </c>
      <c r="G263" t="inlineStr">
        <is>
          <t>West Bengal</t>
        </is>
      </c>
      <c r="H263" t="inlineStr">
        <is>
          <t>Bardhaman</t>
        </is>
      </c>
      <c r="I263" t="inlineStr">
        <is>
          <t>2025-08-18</t>
        </is>
      </c>
      <c r="J263" t="inlineStr">
        <is>
          <t>AOC</t>
        </is>
      </c>
      <c r="K263" t="inlineStr">
        <is>
          <t>Kvrr Infrastructure Private Limited</t>
        </is>
      </c>
      <c r="L263" t="inlineStr">
        <is>
          <t>Krishna Infrastructure, United Coal Carriers</t>
        </is>
      </c>
      <c r="M263" t="inlineStr">
        <is>
          <t>5 named / 10</t>
        </is>
      </c>
      <c r="N263" t="n">
        <v>794.28</v>
      </c>
      <c r="O263" t="n">
        <v>482</v>
      </c>
      <c r="P263">
        <f>MAX(O263,Settings!$B$13)*Settings!$B$7</f>
        <v/>
      </c>
      <c r="Q263">
        <f>MAX(O263,Settings!$B$13)*Settings!$B$8</f>
        <v/>
      </c>
      <c r="R263" s="4">
        <f>MAX(P263*Settings!$B$5,IF(ISNUMBER(Settings!$B$12),Settings!$B$12,0))*(1+IF(Settings!$B$11="Y",0,Settings!$B$10/100))+N(Settings!$B$9)</f>
        <v/>
      </c>
      <c r="S263" s="4">
        <f>IF(Q263&gt;1000,"beyond table",IFERROR(LOOKUP(Q263,'FOIS 145A'!$A$2:$A$22,'FOIS 145A'!$C$2:$C$22),""))</f>
        <v/>
      </c>
      <c r="T263" s="4">
        <f>IF(ISNUMBER(S263),S263*(1+IF(Settings!$B$11="Y",0,Settings!$B$10/100))+2*N(Settings!$B$9),"")</f>
        <v/>
      </c>
      <c r="U263">
        <f>IF(ISNUMBER(T263),IF(T263&lt;R263,"Rail","Road"),"")</f>
        <v/>
      </c>
      <c r="V263" s="4">
        <f>IF(ISNUMBER(T263),ABS(R263-T263),"")</f>
        <v/>
      </c>
      <c r="W263">
        <f>IF(OR(ISNUMBER(SEARCH("siding",D263)),ISNUMBER(SEARCH("rcr",D263)),ISNUMBER(SEARCH("rail",D263)),ISNUMBER(SEARCH("wagon",D263))),"Yes - siding/rail in title","Check")</f>
        <v/>
      </c>
      <c r="X263">
        <f>Settings!$B$6</f>
        <v/>
      </c>
    </row>
    <row r="264">
      <c r="A264" t="inlineStr">
        <is>
          <t>C 300-500 km</t>
        </is>
      </c>
      <c r="B264" t="inlineStr">
        <is>
          <t>12988678</t>
        </is>
      </c>
      <c r="C264" t="inlineStr">
        <is>
          <t>GEM/2025/B/5961517</t>
        </is>
      </c>
      <c r="D264" t="inlineStr">
        <is>
          <t>ob removal, coal extractio</t>
        </is>
      </c>
      <c r="E264" t="inlineStr">
        <is>
          <t>Mining services (OB / extraction)</t>
        </is>
      </c>
      <c r="F264" t="inlineStr">
        <is>
          <t>Eastern Coal Fields Limited</t>
        </is>
      </c>
      <c r="G264" t="inlineStr">
        <is>
          <t>West Bengal</t>
        </is>
      </c>
      <c r="H264" t="inlineStr">
        <is>
          <t>Burdwan</t>
        </is>
      </c>
      <c r="I264" t="inlineStr">
        <is>
          <t>2025-03-11</t>
        </is>
      </c>
      <c r="J264" t="inlineStr">
        <is>
          <t>AOC</t>
        </is>
      </c>
      <c r="K264" t="inlineStr">
        <is>
          <t>Sree Durga Transport Agency</t>
        </is>
      </c>
      <c r="L264" t="inlineStr">
        <is>
          <t>United Coal Carriers</t>
        </is>
      </c>
      <c r="M264" t="inlineStr">
        <is>
          <t>5 named / 10</t>
        </is>
      </c>
      <c r="N264" t="n">
        <v>133.99</v>
      </c>
      <c r="O264" t="n">
        <v>482</v>
      </c>
      <c r="P264">
        <f>MAX(O264,Settings!$B$13)*Settings!$B$7</f>
        <v/>
      </c>
      <c r="Q264">
        <f>MAX(O264,Settings!$B$13)*Settings!$B$8</f>
        <v/>
      </c>
      <c r="R264" s="4">
        <f>MAX(P264*Settings!$B$5,IF(ISNUMBER(Settings!$B$12),Settings!$B$12,0))*(1+IF(Settings!$B$11="Y",0,Settings!$B$10/100))+N(Settings!$B$9)</f>
        <v/>
      </c>
      <c r="S264" s="4">
        <f>IF(Q264&gt;1000,"beyond table",IFERROR(LOOKUP(Q264,'FOIS 145A'!$A$2:$A$22,'FOIS 145A'!$C$2:$C$22),""))</f>
        <v/>
      </c>
      <c r="T264" s="4">
        <f>IF(ISNUMBER(S264),S264*(1+IF(Settings!$B$11="Y",0,Settings!$B$10/100))+2*N(Settings!$B$9),"")</f>
        <v/>
      </c>
      <c r="U264">
        <f>IF(ISNUMBER(T264),IF(T264&lt;R264,"Rail","Road"),"")</f>
        <v/>
      </c>
      <c r="V264" s="4">
        <f>IF(ISNUMBER(T264),ABS(R264-T264),"")</f>
        <v/>
      </c>
      <c r="W264">
        <f>IF(OR(ISNUMBER(SEARCH("siding",D264)),ISNUMBER(SEARCH("rcr",D264)),ISNUMBER(SEARCH("rail",D264)),ISNUMBER(SEARCH("wagon",D264))),"Yes - siding/rail in title","Check")</f>
        <v/>
      </c>
      <c r="X264">
        <f>Settings!$B$6</f>
        <v/>
      </c>
    </row>
    <row r="265">
      <c r="A265" t="inlineStr">
        <is>
          <t>D &gt;500 km</t>
        </is>
      </c>
      <c r="B265" t="inlineStr">
        <is>
          <t>12438518</t>
        </is>
      </c>
      <c r="C265" t="inlineStr">
        <is>
          <t>GEM/2024/B/5652386</t>
        </is>
      </c>
      <c r="D265" t="inlineStr">
        <is>
          <t>domestic coal for ntpc</t>
        </is>
      </c>
      <c r="E265" t="inlineStr">
        <is>
          <t>Coal supply</t>
        </is>
      </c>
      <c r="F265" t="inlineStr">
        <is>
          <t>National Thermal Power Corporation Limited</t>
        </is>
      </c>
      <c r="G265" t="inlineStr">
        <is>
          <t>Bihar</t>
        </is>
      </c>
      <c r="H265" t="inlineStr">
        <is>
          <t>Muzaffarpur</t>
        </is>
      </c>
      <c r="I265" t="inlineStr">
        <is>
          <t>2025-01-21</t>
        </is>
      </c>
      <c r="J265" t="inlineStr">
        <is>
          <t>AOC</t>
        </is>
      </c>
      <c r="K265" t="inlineStr">
        <is>
          <t>Mahavir Coal Resources Private Limited</t>
        </is>
      </c>
      <c r="L265" t="inlineStr">
        <is>
          <t>Godavari Commodities, Mohit Minerals, Sangita Sales</t>
        </is>
      </c>
      <c r="M265" t="inlineStr">
        <is>
          <t>5 named / 8</t>
        </is>
      </c>
      <c r="N265" t="n">
        <v>252</v>
      </c>
      <c r="O265" t="n">
        <v>511</v>
      </c>
      <c r="P265">
        <f>MAX(O265,Settings!$B$13)*Settings!$B$7</f>
        <v/>
      </c>
      <c r="Q265">
        <f>MAX(O265,Settings!$B$13)*Settings!$B$8</f>
        <v/>
      </c>
      <c r="R265" s="4">
        <f>MAX(P265*Settings!$B$5,IF(ISNUMBER(Settings!$B$12),Settings!$B$12,0))*(1+IF(Settings!$B$11="Y",0,Settings!$B$10/100))+N(Settings!$B$9)</f>
        <v/>
      </c>
      <c r="S265" s="4">
        <f>IF(Q265&gt;1000,"beyond table",IFERROR(LOOKUP(Q265,'FOIS 145A'!$A$2:$A$22,'FOIS 145A'!$C$2:$C$22),""))</f>
        <v/>
      </c>
      <c r="T265" s="4">
        <f>IF(ISNUMBER(S265),S265*(1+IF(Settings!$B$11="Y",0,Settings!$B$10/100))+2*N(Settings!$B$9),"")</f>
        <v/>
      </c>
      <c r="U265">
        <f>IF(ISNUMBER(T265),IF(T265&lt;R265,"Rail","Road"),"")</f>
        <v/>
      </c>
      <c r="V265" s="4">
        <f>IF(ISNUMBER(T265),ABS(R265-T265),"")</f>
        <v/>
      </c>
      <c r="W265">
        <f>IF(OR(ISNUMBER(SEARCH("siding",D265)),ISNUMBER(SEARCH("rcr",D265)),ISNUMBER(SEARCH("rail",D265)),ISNUMBER(SEARCH("wagon",D265))),"Yes - siding/rail in title","Check")</f>
        <v/>
      </c>
      <c r="X265">
        <f>Settings!$B$6</f>
        <v/>
      </c>
    </row>
    <row r="266">
      <c r="A266" t="inlineStr">
        <is>
          <t>D &gt;500 km</t>
        </is>
      </c>
      <c r="B266" t="inlineStr">
        <is>
          <t>15936044</t>
        </is>
      </c>
      <c r="C266" t="inlineStr">
        <is>
          <t>GEM/2025/B/6933679</t>
        </is>
      </c>
      <c r="D266" t="inlineStr">
        <is>
          <t>200143067 annual contract for manual unloading of coal wagons at ntpc kanti</t>
        </is>
      </c>
      <c r="E266" t="inlineStr">
        <is>
          <t>Loading / handling / crushing</t>
        </is>
      </c>
      <c r="F266" t="inlineStr">
        <is>
          <t>National Thermal Power Corporation Limited</t>
        </is>
      </c>
      <c r="G266" t="inlineStr">
        <is>
          <t>Bihar</t>
        </is>
      </c>
      <c r="H266" t="inlineStr">
        <is>
          <t>Muzaffarpur</t>
        </is>
      </c>
      <c r="I266" t="inlineStr">
        <is>
          <t>2025-12-15</t>
        </is>
      </c>
      <c r="J266" t="inlineStr">
        <is>
          <t>AOC</t>
        </is>
      </c>
      <c r="K266" t="inlineStr">
        <is>
          <t>New Maa Brahmani Enterprises</t>
        </is>
      </c>
      <c r="L266" t="inlineStr"/>
      <c r="M266" t="inlineStr">
        <is>
          <t>5 named / 9</t>
        </is>
      </c>
      <c r="N266" t="n">
        <v>0.7</v>
      </c>
      <c r="O266" t="n">
        <v>511</v>
      </c>
      <c r="P266">
        <f>MAX(O266,Settings!$B$13)*Settings!$B$7</f>
        <v/>
      </c>
      <c r="Q266">
        <f>MAX(O266,Settings!$B$13)*Settings!$B$8</f>
        <v/>
      </c>
      <c r="R266" s="4">
        <f>MAX(P266*Settings!$B$5,IF(ISNUMBER(Settings!$B$12),Settings!$B$12,0))*(1+IF(Settings!$B$11="Y",0,Settings!$B$10/100))+N(Settings!$B$9)</f>
        <v/>
      </c>
      <c r="S266" s="4">
        <f>IF(Q266&gt;1000,"beyond table",IFERROR(LOOKUP(Q266,'FOIS 145A'!$A$2:$A$22,'FOIS 145A'!$C$2:$C$22),""))</f>
        <v/>
      </c>
      <c r="T266" s="4">
        <f>IF(ISNUMBER(S266),S266*(1+IF(Settings!$B$11="Y",0,Settings!$B$10/100))+2*N(Settings!$B$9),"")</f>
        <v/>
      </c>
      <c r="U266">
        <f>IF(ISNUMBER(T266),IF(T266&lt;R266,"Rail","Road"),"")</f>
        <v/>
      </c>
      <c r="V266" s="4">
        <f>IF(ISNUMBER(T266),ABS(R266-T266),"")</f>
        <v/>
      </c>
      <c r="W266">
        <f>IF(OR(ISNUMBER(SEARCH("siding",D266)),ISNUMBER(SEARCH("rcr",D266)),ISNUMBER(SEARCH("rail",D266)),ISNUMBER(SEARCH("wagon",D266))),"Yes - siding/rail in title","Check")</f>
        <v/>
      </c>
      <c r="X266">
        <f>Settings!$B$6</f>
        <v/>
      </c>
    </row>
    <row r="267">
      <c r="A267" t="inlineStr">
        <is>
          <t>D &gt;500 km</t>
        </is>
      </c>
      <c r="B267" t="inlineStr">
        <is>
          <t>18400873</t>
        </is>
      </c>
      <c r="C267" t="inlineStr">
        <is>
          <t>GEM/2026/B/7978009</t>
        </is>
      </c>
      <c r="D267" t="inlineStr">
        <is>
          <t>supply of - domestic coal for ntpc (q3) -  | quantity - 500000</t>
        </is>
      </c>
      <c r="E267" t="inlineStr">
        <is>
          <t>Coal supply</t>
        </is>
      </c>
      <c r="F267" t="inlineStr">
        <is>
          <t>National Thermal Power Corporation Limited</t>
        </is>
      </c>
      <c r="G267" t="inlineStr">
        <is>
          <t>Uttar Pradesh</t>
        </is>
      </c>
      <c r="H267" t="inlineStr">
        <is>
          <t>Ambedkar Nagar</t>
        </is>
      </c>
      <c r="I267" t="inlineStr">
        <is>
          <t>2026-09-18</t>
        </is>
      </c>
      <c r="J267" t="inlineStr">
        <is>
          <t>Financial</t>
        </is>
      </c>
      <c r="K267" t="inlineStr">
        <is>
          <t>-</t>
        </is>
      </c>
      <c r="L267" t="inlineStr">
        <is>
          <t>Godavari Commodities, Indermani / Indramani</t>
        </is>
      </c>
      <c r="M267" t="inlineStr">
        <is>
          <t>5 named / 12</t>
        </is>
      </c>
      <c r="O267" t="n">
        <v>511</v>
      </c>
      <c r="P267">
        <f>MAX(O267,Settings!$B$13)*Settings!$B$7</f>
        <v/>
      </c>
      <c r="Q267">
        <f>MAX(O267,Settings!$B$13)*Settings!$B$8</f>
        <v/>
      </c>
      <c r="R267" s="4">
        <f>MAX(P267*Settings!$B$5,IF(ISNUMBER(Settings!$B$12),Settings!$B$12,0))*(1+IF(Settings!$B$11="Y",0,Settings!$B$10/100))+N(Settings!$B$9)</f>
        <v/>
      </c>
      <c r="S267" s="4">
        <f>IF(Q267&gt;1000,"beyond table",IFERROR(LOOKUP(Q267,'FOIS 145A'!$A$2:$A$22,'FOIS 145A'!$C$2:$C$22),""))</f>
        <v/>
      </c>
      <c r="T267" s="4">
        <f>IF(ISNUMBER(S267),S267*(1+IF(Settings!$B$11="Y",0,Settings!$B$10/100))+2*N(Settings!$B$9),"")</f>
        <v/>
      </c>
      <c r="U267">
        <f>IF(ISNUMBER(T267),IF(T267&lt;R267,"Rail","Road"),"")</f>
        <v/>
      </c>
      <c r="V267" s="4">
        <f>IF(ISNUMBER(T267),ABS(R267-T267),"")</f>
        <v/>
      </c>
      <c r="W267">
        <f>IF(OR(ISNUMBER(SEARCH("siding",D267)),ISNUMBER(SEARCH("rcr",D267)),ISNUMBER(SEARCH("rail",D267)),ISNUMBER(SEARCH("wagon",D267))),"Yes - siding/rail in title","Check")</f>
        <v/>
      </c>
      <c r="X267">
        <f>Settings!$B$6</f>
        <v/>
      </c>
    </row>
    <row r="268">
      <c r="A268" t="inlineStr">
        <is>
          <t>D &gt;500 km</t>
        </is>
      </c>
      <c r="B268" t="inlineStr">
        <is>
          <t>15407506</t>
        </is>
      </c>
      <c r="C268" t="inlineStr">
        <is>
          <t>2025_DVC_245419_1</t>
        </is>
      </c>
      <c r="D268" t="inlineStr">
        <is>
          <t>lifting of 20.0(twenty) lmt coal from nlc india limited (nlcil)-talabira ii and iii ocp, sambalpur, odisha to dstps and other tps of dvc thr</t>
        </is>
      </c>
      <c r="E268" t="inlineStr">
        <is>
          <t>Coal transport (RCR / siding)</t>
        </is>
      </c>
      <c r="F268" t="inlineStr">
        <is>
          <t>Damodar Valley Corporation</t>
        </is>
      </c>
      <c r="G268" t="inlineStr">
        <is>
          <t>West Bengal</t>
        </is>
      </c>
      <c r="H268" t="inlineStr">
        <is>
          <t>Kolkata</t>
        </is>
      </c>
      <c r="I268" t="inlineStr">
        <is>
          <t>2025-08-28</t>
        </is>
      </c>
      <c r="J268" t="inlineStr">
        <is>
          <t>Technical</t>
        </is>
      </c>
      <c r="K268" t="inlineStr">
        <is>
          <t>-</t>
        </is>
      </c>
      <c r="L268" t="inlineStr">
        <is>
          <t>Anoop Road Carriers, Godavari Commodities</t>
        </is>
      </c>
      <c r="M268" t="inlineStr">
        <is>
          <t>5 named / 17</t>
        </is>
      </c>
      <c r="O268" t="n">
        <v>516</v>
      </c>
      <c r="P268">
        <f>MAX(O268,Settings!$B$13)*Settings!$B$7</f>
        <v/>
      </c>
      <c r="Q268">
        <f>MAX(O268,Settings!$B$13)*Settings!$B$8</f>
        <v/>
      </c>
      <c r="R268" s="4">
        <f>MAX(P268*Settings!$B$5,IF(ISNUMBER(Settings!$B$12),Settings!$B$12,0))*(1+IF(Settings!$B$11="Y",0,Settings!$B$10/100))+N(Settings!$B$9)</f>
        <v/>
      </c>
      <c r="S268" s="4">
        <f>IF(Q268&gt;1000,"beyond table",IFERROR(LOOKUP(Q268,'FOIS 145A'!$A$2:$A$22,'FOIS 145A'!$C$2:$C$22),""))</f>
        <v/>
      </c>
      <c r="T268" s="4">
        <f>IF(ISNUMBER(S268),S268*(1+IF(Settings!$B$11="Y",0,Settings!$B$10/100))+2*N(Settings!$B$9),"")</f>
        <v/>
      </c>
      <c r="U268">
        <f>IF(ISNUMBER(T268),IF(T268&lt;R268,"Rail","Road"),"")</f>
        <v/>
      </c>
      <c r="V268" s="4">
        <f>IF(ISNUMBER(T268),ABS(R268-T268),"")</f>
        <v/>
      </c>
      <c r="W268">
        <f>IF(OR(ISNUMBER(SEARCH("siding",D268)),ISNUMBER(SEARCH("rcr",D268)),ISNUMBER(SEARCH("rail",D268)),ISNUMBER(SEARCH("wagon",D268))),"Yes - siding/rail in title","Check")</f>
        <v/>
      </c>
      <c r="X268">
        <f>Settings!$B$6</f>
        <v/>
      </c>
    </row>
    <row r="269">
      <c r="A269" t="inlineStr">
        <is>
          <t>D &gt;500 km</t>
        </is>
      </c>
      <c r="B269" t="inlineStr">
        <is>
          <t>17546482</t>
        </is>
      </c>
      <c r="C269" t="inlineStr">
        <is>
          <t>GEM/2026/B/7470031</t>
        </is>
      </c>
      <c r="D269" t="inlineStr">
        <is>
          <t>facility management services - lumpsum based - manual unloading of coal from ir boxn wagons and other misc work at track hoppers in mgr at n</t>
        </is>
      </c>
      <c r="E269" t="inlineStr">
        <is>
          <t>Loading / handling / crushing</t>
        </is>
      </c>
      <c r="F269" t="inlineStr">
        <is>
          <t>National Thermal Power Corporation Limited</t>
        </is>
      </c>
      <c r="G269" t="inlineStr">
        <is>
          <t>Bihar</t>
        </is>
      </c>
      <c r="H269" t="inlineStr">
        <is>
          <t>Bhagalpur</t>
        </is>
      </c>
      <c r="I269" t="inlineStr">
        <is>
          <t>2026-05-14</t>
        </is>
      </c>
      <c r="J269" t="inlineStr">
        <is>
          <t>AOC</t>
        </is>
      </c>
      <c r="K269" t="inlineStr">
        <is>
          <t>Muneshwar Navin Construction</t>
        </is>
      </c>
      <c r="L269" t="inlineStr"/>
      <c r="M269" t="inlineStr">
        <is>
          <t>5 named / 13</t>
        </is>
      </c>
      <c r="N269" t="n">
        <v>8.640000000000001</v>
      </c>
      <c r="O269" t="n">
        <v>520</v>
      </c>
      <c r="P269">
        <f>MAX(O269,Settings!$B$13)*Settings!$B$7</f>
        <v/>
      </c>
      <c r="Q269">
        <f>MAX(O269,Settings!$B$13)*Settings!$B$8</f>
        <v/>
      </c>
      <c r="R269" s="4">
        <f>MAX(P269*Settings!$B$5,IF(ISNUMBER(Settings!$B$12),Settings!$B$12,0))*(1+IF(Settings!$B$11="Y",0,Settings!$B$10/100))+N(Settings!$B$9)</f>
        <v/>
      </c>
      <c r="S269" s="4">
        <f>IF(Q269&gt;1000,"beyond table",IFERROR(LOOKUP(Q269,'FOIS 145A'!$A$2:$A$22,'FOIS 145A'!$C$2:$C$22),""))</f>
        <v/>
      </c>
      <c r="T269" s="4">
        <f>IF(ISNUMBER(S269),S269*(1+IF(Settings!$B$11="Y",0,Settings!$B$10/100))+2*N(Settings!$B$9),"")</f>
        <v/>
      </c>
      <c r="U269">
        <f>IF(ISNUMBER(T269),IF(T269&lt;R269,"Rail","Road"),"")</f>
        <v/>
      </c>
      <c r="V269" s="4">
        <f>IF(ISNUMBER(T269),ABS(R269-T269),"")</f>
        <v/>
      </c>
      <c r="W269">
        <f>IF(OR(ISNUMBER(SEARCH("siding",D269)),ISNUMBER(SEARCH("rcr",D269)),ISNUMBER(SEARCH("rail",D269)),ISNUMBER(SEARCH("wagon",D269))),"Yes - siding/rail in title","Check")</f>
        <v/>
      </c>
      <c r="X269">
        <f>Settings!$B$6</f>
        <v/>
      </c>
    </row>
    <row r="270">
      <c r="A270" t="inlineStr">
        <is>
          <t>D &gt;500 km</t>
        </is>
      </c>
      <c r="B270" t="inlineStr">
        <is>
          <t>18318773</t>
        </is>
      </c>
      <c r="C270" t="inlineStr">
        <is>
          <t>GEM/2026/B/7657978</t>
        </is>
      </c>
      <c r="D270" t="inlineStr">
        <is>
          <t>supply of - coal -  | quantity - 24000</t>
        </is>
      </c>
      <c r="E270" t="inlineStr">
        <is>
          <t>Coal supply</t>
        </is>
      </c>
      <c r="F270" t="inlineStr">
        <is>
          <t>Bharat Petroleum Corporation Limited</t>
        </is>
      </c>
      <c r="G270" t="inlineStr">
        <is>
          <t>Madhya Pradesh</t>
        </is>
      </c>
      <c r="H270" t="inlineStr">
        <is>
          <t>Sagar</t>
        </is>
      </c>
      <c r="I270" t="inlineStr">
        <is>
          <t>2026-07-10</t>
        </is>
      </c>
      <c r="J270" t="inlineStr">
        <is>
          <t>Financial</t>
        </is>
      </c>
      <c r="K270" t="inlineStr">
        <is>
          <t>-</t>
        </is>
      </c>
      <c r="L270" t="inlineStr">
        <is>
          <t>Godavari Commodities</t>
        </is>
      </c>
      <c r="M270" t="inlineStr">
        <is>
          <t>5 named / 15</t>
        </is>
      </c>
      <c r="O270" t="n">
        <v>524</v>
      </c>
      <c r="P270">
        <f>MAX(O270,Settings!$B$13)*Settings!$B$7</f>
        <v/>
      </c>
      <c r="Q270">
        <f>MAX(O270,Settings!$B$13)*Settings!$B$8</f>
        <v/>
      </c>
      <c r="R270" s="4">
        <f>MAX(P270*Settings!$B$5,IF(ISNUMBER(Settings!$B$12),Settings!$B$12,0))*(1+IF(Settings!$B$11="Y",0,Settings!$B$10/100))+N(Settings!$B$9)</f>
        <v/>
      </c>
      <c r="S270" s="4">
        <f>IF(Q270&gt;1000,"beyond table",IFERROR(LOOKUP(Q270,'FOIS 145A'!$A$2:$A$22,'FOIS 145A'!$C$2:$C$22),""))</f>
        <v/>
      </c>
      <c r="T270" s="4">
        <f>IF(ISNUMBER(S270),S270*(1+IF(Settings!$B$11="Y",0,Settings!$B$10/100))+2*N(Settings!$B$9),"")</f>
        <v/>
      </c>
      <c r="U270">
        <f>IF(ISNUMBER(T270),IF(T270&lt;R270,"Rail","Road"),"")</f>
        <v/>
      </c>
      <c r="V270" s="4">
        <f>IF(ISNUMBER(T270),ABS(R270-T270),"")</f>
        <v/>
      </c>
      <c r="W270">
        <f>IF(OR(ISNUMBER(SEARCH("siding",D270)),ISNUMBER(SEARCH("rcr",D270)),ISNUMBER(SEARCH("rail",D270)),ISNUMBER(SEARCH("wagon",D270))),"Yes - siding/rail in title","Check")</f>
        <v/>
      </c>
      <c r="X270">
        <f>Settings!$B$6</f>
        <v/>
      </c>
    </row>
    <row r="271">
      <c r="A271" t="inlineStr">
        <is>
          <t>D &gt;500 km</t>
        </is>
      </c>
      <c r="B271" t="inlineStr">
        <is>
          <t>18214127</t>
        </is>
      </c>
      <c r="C271" t="inlineStr">
        <is>
          <t>GEM/2026/B/7997400</t>
        </is>
      </c>
      <c r="D271" t="inlineStr">
        <is>
          <t>supply of - domestic coal for ntpc (q3) -  | quantity - 500000</t>
        </is>
      </c>
      <c r="E271" t="inlineStr">
        <is>
          <t>Coal supply</t>
        </is>
      </c>
      <c r="F271" t="inlineStr">
        <is>
          <t>National Thermal Power Corporation Limited</t>
        </is>
      </c>
      <c r="G271" t="inlineStr">
        <is>
          <t>Uttar Pradesh</t>
        </is>
      </c>
      <c r="H271" t="inlineStr">
        <is>
          <t>Raebareli</t>
        </is>
      </c>
      <c r="I271" t="inlineStr">
        <is>
          <t>2026-09-09</t>
        </is>
      </c>
      <c r="J271" t="inlineStr">
        <is>
          <t>Financial</t>
        </is>
      </c>
      <c r="K271" t="inlineStr">
        <is>
          <t>-</t>
        </is>
      </c>
      <c r="L271" t="inlineStr">
        <is>
          <t>Godavari Commodities, Indermani / Indramani, Mohit Minerals, Sangita Sales</t>
        </is>
      </c>
      <c r="M271" t="inlineStr">
        <is>
          <t>5 named / 9</t>
        </is>
      </c>
      <c r="O271" t="n">
        <v>529</v>
      </c>
      <c r="P271">
        <f>MAX(O271,Settings!$B$13)*Settings!$B$7</f>
        <v/>
      </c>
      <c r="Q271">
        <f>MAX(O271,Settings!$B$13)*Settings!$B$8</f>
        <v/>
      </c>
      <c r="R271" s="4">
        <f>MAX(P271*Settings!$B$5,IF(ISNUMBER(Settings!$B$12),Settings!$B$12,0))*(1+IF(Settings!$B$11="Y",0,Settings!$B$10/100))+N(Settings!$B$9)</f>
        <v/>
      </c>
      <c r="S271" s="4">
        <f>IF(Q271&gt;1000,"beyond table",IFERROR(LOOKUP(Q271,'FOIS 145A'!$A$2:$A$22,'FOIS 145A'!$C$2:$C$22),""))</f>
        <v/>
      </c>
      <c r="T271" s="4">
        <f>IF(ISNUMBER(S271),S271*(1+IF(Settings!$B$11="Y",0,Settings!$B$10/100))+2*N(Settings!$B$9),"")</f>
        <v/>
      </c>
      <c r="U271">
        <f>IF(ISNUMBER(T271),IF(T271&lt;R271,"Rail","Road"),"")</f>
        <v/>
      </c>
      <c r="V271" s="4">
        <f>IF(ISNUMBER(T271),ABS(R271-T271),"")</f>
        <v/>
      </c>
      <c r="W271">
        <f>IF(OR(ISNUMBER(SEARCH("siding",D271)),ISNUMBER(SEARCH("rcr",D271)),ISNUMBER(SEARCH("rail",D271)),ISNUMBER(SEARCH("wagon",D271))),"Yes - siding/rail in title","Check")</f>
        <v/>
      </c>
      <c r="X271">
        <f>Settings!$B$6</f>
        <v/>
      </c>
    </row>
    <row r="272">
      <c r="A272" t="inlineStr">
        <is>
          <t>D &gt;500 km</t>
        </is>
      </c>
      <c r="B272" t="inlineStr">
        <is>
          <t>17369341</t>
        </is>
      </c>
      <c r="C272" t="inlineStr">
        <is>
          <t>GEM/2026/B/7318874</t>
        </is>
      </c>
      <c r="D272" t="inlineStr">
        <is>
          <t>contract for unloading and coordination of biomass pellet at ntpc unchahar</t>
        </is>
      </c>
      <c r="E272" t="inlineStr">
        <is>
          <t>Other (biomass / coke)</t>
        </is>
      </c>
      <c r="F272" t="inlineStr">
        <is>
          <t>National Thermal Power Corporation Limited</t>
        </is>
      </c>
      <c r="G272" t="inlineStr">
        <is>
          <t>Uttar Pradesh</t>
        </is>
      </c>
      <c r="H272" t="inlineStr">
        <is>
          <t>Raebareli</t>
        </is>
      </c>
      <c r="I272" t="inlineStr">
        <is>
          <t>2026-04-07</t>
        </is>
      </c>
      <c r="J272" t="inlineStr">
        <is>
          <t>AOC</t>
        </is>
      </c>
      <c r="K272" t="inlineStr">
        <is>
          <t>M/S Krishna Engineering Works</t>
        </is>
      </c>
      <c r="L272" t="inlineStr"/>
      <c r="M272" t="inlineStr">
        <is>
          <t>5 named / 18</t>
        </is>
      </c>
      <c r="N272" t="n">
        <v>1.65</v>
      </c>
      <c r="O272" t="n">
        <v>529</v>
      </c>
      <c r="P272">
        <f>MAX(O272,Settings!$B$13)*Settings!$B$7</f>
        <v/>
      </c>
      <c r="Q272">
        <f>MAX(O272,Settings!$B$13)*Settings!$B$8</f>
        <v/>
      </c>
      <c r="R272" s="4">
        <f>MAX(P272*Settings!$B$5,IF(ISNUMBER(Settings!$B$12),Settings!$B$12,0))*(1+IF(Settings!$B$11="Y",0,Settings!$B$10/100))+N(Settings!$B$9)</f>
        <v/>
      </c>
      <c r="S272" s="4">
        <f>IF(Q272&gt;1000,"beyond table",IFERROR(LOOKUP(Q272,'FOIS 145A'!$A$2:$A$22,'FOIS 145A'!$C$2:$C$22),""))</f>
        <v/>
      </c>
      <c r="T272" s="4">
        <f>IF(ISNUMBER(S272),S272*(1+IF(Settings!$B$11="Y",0,Settings!$B$10/100))+2*N(Settings!$B$9),"")</f>
        <v/>
      </c>
      <c r="U272">
        <f>IF(ISNUMBER(T272),IF(T272&lt;R272,"Rail","Road"),"")</f>
        <v/>
      </c>
      <c r="V272" s="4">
        <f>IF(ISNUMBER(T272),ABS(R272-T272),"")</f>
        <v/>
      </c>
      <c r="W272">
        <f>IF(OR(ISNUMBER(SEARCH("siding",D272)),ISNUMBER(SEARCH("rcr",D272)),ISNUMBER(SEARCH("rail",D272)),ISNUMBER(SEARCH("wagon",D272))),"Yes - siding/rail in title","Check")</f>
        <v/>
      </c>
      <c r="X272">
        <f>Settings!$B$6</f>
        <v/>
      </c>
    </row>
    <row r="273">
      <c r="A273" t="inlineStr">
        <is>
          <t>D &gt;500 km</t>
        </is>
      </c>
      <c r="B273" t="inlineStr">
        <is>
          <t>13186124</t>
        </is>
      </c>
      <c r="C273" t="inlineStr">
        <is>
          <t>2025_MPPGC_395740_1</t>
        </is>
      </c>
      <c r="D273" t="inlineStr">
        <is>
          <t>transportation with loading of coal from neharia ug of pench area mine of m/s wcl to stps, sarni by contractor in completely covered and sea</t>
        </is>
      </c>
      <c r="E273" t="inlineStr">
        <is>
          <t>Coal transport (road)</t>
        </is>
      </c>
      <c r="F273" t="inlineStr">
        <is>
          <t>Madhya Pradesh Power Generating Company Limited</t>
        </is>
      </c>
      <c r="G273" t="inlineStr">
        <is>
          <t>Madhya Pradesh</t>
        </is>
      </c>
      <c r="H273" t="inlineStr">
        <is>
          <t>Sarni</t>
        </is>
      </c>
      <c r="I273" t="inlineStr">
        <is>
          <t>2025-03-06</t>
        </is>
      </c>
      <c r="J273" t="inlineStr">
        <is>
          <t>AOC</t>
        </is>
      </c>
      <c r="K273" t="inlineStr">
        <is>
          <t>Avaneesh Logistics Private Limited, B And B Group, Imperial Trucking</t>
        </is>
      </c>
      <c r="L273" t="inlineStr"/>
      <c r="M273" t="inlineStr">
        <is>
          <t>5 named / 6</t>
        </is>
      </c>
      <c r="N273" t="n">
        <v>8.970000000000001</v>
      </c>
      <c r="O273" t="n">
        <v>543</v>
      </c>
      <c r="P273">
        <f>MAX(O273,Settings!$B$13)*Settings!$B$7</f>
        <v/>
      </c>
      <c r="Q273">
        <f>MAX(O273,Settings!$B$13)*Settings!$B$8</f>
        <v/>
      </c>
      <c r="R273" s="4">
        <f>MAX(P273*Settings!$B$5,IF(ISNUMBER(Settings!$B$12),Settings!$B$12,0))*(1+IF(Settings!$B$11="Y",0,Settings!$B$10/100))+N(Settings!$B$9)</f>
        <v/>
      </c>
      <c r="S273" s="4">
        <f>IF(Q273&gt;1000,"beyond table",IFERROR(LOOKUP(Q273,'FOIS 145A'!$A$2:$A$22,'FOIS 145A'!$C$2:$C$22),""))</f>
        <v/>
      </c>
      <c r="T273" s="4">
        <f>IF(ISNUMBER(S273),S273*(1+IF(Settings!$B$11="Y",0,Settings!$B$10/100))+2*N(Settings!$B$9),"")</f>
        <v/>
      </c>
      <c r="U273">
        <f>IF(ISNUMBER(T273),IF(T273&lt;R273,"Rail","Road"),"")</f>
        <v/>
      </c>
      <c r="V273" s="4">
        <f>IF(ISNUMBER(T273),ABS(R273-T273),"")</f>
        <v/>
      </c>
      <c r="W273">
        <f>IF(OR(ISNUMBER(SEARCH("siding",D273)),ISNUMBER(SEARCH("rcr",D273)),ISNUMBER(SEARCH("rail",D273)),ISNUMBER(SEARCH("wagon",D273))),"Yes - siding/rail in title","Check")</f>
        <v/>
      </c>
      <c r="X273">
        <f>Settings!$B$6</f>
        <v/>
      </c>
    </row>
    <row r="274">
      <c r="A274" t="inlineStr">
        <is>
          <t>D &gt;500 km</t>
        </is>
      </c>
      <c r="B274" t="inlineStr">
        <is>
          <t>15591240</t>
        </is>
      </c>
      <c r="C274" t="inlineStr">
        <is>
          <t>GEM/2025/B/6644928</t>
        </is>
      </c>
      <c r="D274" t="inlineStr">
        <is>
          <t>unloading of coal from ir bobr wagons at track hoppers and unloading jobs</t>
        </is>
      </c>
      <c r="E274" t="inlineStr">
        <is>
          <t>Loading / handling / crushing</t>
        </is>
      </c>
      <c r="F274" t="inlineStr">
        <is>
          <t>National Thermal Power Corporation Limited</t>
        </is>
      </c>
      <c r="G274" t="inlineStr">
        <is>
          <t>West Bengal</t>
        </is>
      </c>
      <c r="H274" t="inlineStr">
        <is>
          <t>Murshidabad</t>
        </is>
      </c>
      <c r="I274" t="inlineStr">
        <is>
          <t>2025-09-26</t>
        </is>
      </c>
      <c r="J274" t="inlineStr">
        <is>
          <t>AOC</t>
        </is>
      </c>
      <c r="K274" t="inlineStr">
        <is>
          <t>Royal Enterprises</t>
        </is>
      </c>
      <c r="L274" t="inlineStr"/>
      <c r="M274" t="inlineStr">
        <is>
          <t>5 named / 6</t>
        </is>
      </c>
      <c r="N274" t="n">
        <v>20.23</v>
      </c>
      <c r="O274" t="n">
        <v>559</v>
      </c>
      <c r="P274">
        <f>MAX(O274,Settings!$B$13)*Settings!$B$7</f>
        <v/>
      </c>
      <c r="Q274">
        <f>MAX(O274,Settings!$B$13)*Settings!$B$8</f>
        <v/>
      </c>
      <c r="R274" s="4">
        <f>MAX(P274*Settings!$B$5,IF(ISNUMBER(Settings!$B$12),Settings!$B$12,0))*(1+IF(Settings!$B$11="Y",0,Settings!$B$10/100))+N(Settings!$B$9)</f>
        <v/>
      </c>
      <c r="S274" s="4">
        <f>IF(Q274&gt;1000,"beyond table",IFERROR(LOOKUP(Q274,'FOIS 145A'!$A$2:$A$22,'FOIS 145A'!$C$2:$C$22),""))</f>
        <v/>
      </c>
      <c r="T274" s="4">
        <f>IF(ISNUMBER(S274),S274*(1+IF(Settings!$B$11="Y",0,Settings!$B$10/100))+2*N(Settings!$B$9),"")</f>
        <v/>
      </c>
      <c r="U274">
        <f>IF(ISNUMBER(T274),IF(T274&lt;R274,"Rail","Road"),"")</f>
        <v/>
      </c>
      <c r="V274" s="4">
        <f>IF(ISNUMBER(T274),ABS(R274-T274),"")</f>
        <v/>
      </c>
      <c r="W274">
        <f>IF(OR(ISNUMBER(SEARCH("siding",D274)),ISNUMBER(SEARCH("rcr",D274)),ISNUMBER(SEARCH("rail",D274)),ISNUMBER(SEARCH("wagon",D274))),"Yes - siding/rail in title","Check")</f>
        <v/>
      </c>
      <c r="X274">
        <f>Settings!$B$6</f>
        <v/>
      </c>
    </row>
    <row r="275">
      <c r="A275" t="inlineStr">
        <is>
          <t>D &gt;500 km</t>
        </is>
      </c>
      <c r="B275" t="inlineStr">
        <is>
          <t>17889178</t>
        </is>
      </c>
      <c r="C275" t="inlineStr">
        <is>
          <t>2026_MPPGC_517074_1</t>
        </is>
      </c>
      <c r="D275" t="inlineStr">
        <is>
          <t>transportation cum loading of coal from chute/hopper/ground at chhatarpur-i ugm, pathakhera area of m/s wcl to stps, sarni, through fully co</t>
        </is>
      </c>
      <c r="E275" t="inlineStr">
        <is>
          <t>Coal transport (road)</t>
        </is>
      </c>
      <c r="F275" t="inlineStr">
        <is>
          <t>Madhya Pradesh Power Generating Company Limited</t>
        </is>
      </c>
      <c r="G275" t="inlineStr">
        <is>
          <t>Madhya Pradesh</t>
        </is>
      </c>
      <c r="H275" t="inlineStr">
        <is>
          <t>Betul</t>
        </is>
      </c>
      <c r="I275" t="inlineStr">
        <is>
          <t>2026-08-03</t>
        </is>
      </c>
      <c r="J275" t="inlineStr">
        <is>
          <t>Financial</t>
        </is>
      </c>
      <c r="K275" t="inlineStr">
        <is>
          <t>-</t>
        </is>
      </c>
      <c r="L275" t="inlineStr"/>
      <c r="M275" t="inlineStr">
        <is>
          <t>5 named / 5</t>
        </is>
      </c>
      <c r="O275" t="n">
        <v>567</v>
      </c>
      <c r="P275">
        <f>MAX(O275,Settings!$B$13)*Settings!$B$7</f>
        <v/>
      </c>
      <c r="Q275">
        <f>MAX(O275,Settings!$B$13)*Settings!$B$8</f>
        <v/>
      </c>
      <c r="R275" s="4">
        <f>MAX(P275*Settings!$B$5,IF(ISNUMBER(Settings!$B$12),Settings!$B$12,0))*(1+IF(Settings!$B$11="Y",0,Settings!$B$10/100))+N(Settings!$B$9)</f>
        <v/>
      </c>
      <c r="S275" s="4">
        <f>IF(Q275&gt;1000,"beyond table",IFERROR(LOOKUP(Q275,'FOIS 145A'!$A$2:$A$22,'FOIS 145A'!$C$2:$C$22),""))</f>
        <v/>
      </c>
      <c r="T275" s="4">
        <f>IF(ISNUMBER(S275),S275*(1+IF(Settings!$B$11="Y",0,Settings!$B$10/100))+2*N(Settings!$B$9),"")</f>
        <v/>
      </c>
      <c r="U275">
        <f>IF(ISNUMBER(T275),IF(T275&lt;R275,"Rail","Road"),"")</f>
        <v/>
      </c>
      <c r="V275" s="4">
        <f>IF(ISNUMBER(T275),ABS(R275-T275),"")</f>
        <v/>
      </c>
      <c r="W275">
        <f>IF(OR(ISNUMBER(SEARCH("siding",D275)),ISNUMBER(SEARCH("rcr",D275)),ISNUMBER(SEARCH("rail",D275)),ISNUMBER(SEARCH("wagon",D275))),"Yes - siding/rail in title","Check")</f>
        <v/>
      </c>
      <c r="X275">
        <f>Settings!$B$6</f>
        <v/>
      </c>
    </row>
    <row r="276">
      <c r="A276" t="inlineStr">
        <is>
          <t>D &gt;500 km</t>
        </is>
      </c>
      <c r="B276" t="inlineStr">
        <is>
          <t>17374270</t>
        </is>
      </c>
      <c r="C276" t="inlineStr">
        <is>
          <t>2026_MPPGC_500659_1</t>
        </is>
      </c>
      <c r="D276" t="inlineStr">
        <is>
          <t>transportation with loading of coal from urdhan ocm of pench area mine of m/s wcl to stps, sarni by contractor in completely covered and sea</t>
        </is>
      </c>
      <c r="E276" t="inlineStr">
        <is>
          <t>Coal transport (road)</t>
        </is>
      </c>
      <c r="F276" t="inlineStr">
        <is>
          <t>Madhya Pradesh Power Generating Company Limited</t>
        </is>
      </c>
      <c r="G276" t="inlineStr">
        <is>
          <t>Madhya Pradesh</t>
        </is>
      </c>
      <c r="H276" t="inlineStr">
        <is>
          <t>Betul</t>
        </is>
      </c>
      <c r="I276" t="inlineStr">
        <is>
          <t>2026-05-25</t>
        </is>
      </c>
      <c r="J276" t="inlineStr">
        <is>
          <t>Financial</t>
        </is>
      </c>
      <c r="K276" t="inlineStr">
        <is>
          <t>-</t>
        </is>
      </c>
      <c r="L276" t="inlineStr"/>
      <c r="M276" t="inlineStr">
        <is>
          <t>5 named / 5</t>
        </is>
      </c>
      <c r="O276" t="n">
        <v>567</v>
      </c>
      <c r="P276">
        <f>MAX(O276,Settings!$B$13)*Settings!$B$7</f>
        <v/>
      </c>
      <c r="Q276">
        <f>MAX(O276,Settings!$B$13)*Settings!$B$8</f>
        <v/>
      </c>
      <c r="R276" s="4">
        <f>MAX(P276*Settings!$B$5,IF(ISNUMBER(Settings!$B$12),Settings!$B$12,0))*(1+IF(Settings!$B$11="Y",0,Settings!$B$10/100))+N(Settings!$B$9)</f>
        <v/>
      </c>
      <c r="S276" s="4">
        <f>IF(Q276&gt;1000,"beyond table",IFERROR(LOOKUP(Q276,'FOIS 145A'!$A$2:$A$22,'FOIS 145A'!$C$2:$C$22),""))</f>
        <v/>
      </c>
      <c r="T276" s="4">
        <f>IF(ISNUMBER(S276),S276*(1+IF(Settings!$B$11="Y",0,Settings!$B$10/100))+2*N(Settings!$B$9),"")</f>
        <v/>
      </c>
      <c r="U276">
        <f>IF(ISNUMBER(T276),IF(T276&lt;R276,"Rail","Road"),"")</f>
        <v/>
      </c>
      <c r="V276" s="4">
        <f>IF(ISNUMBER(T276),ABS(R276-T276),"")</f>
        <v/>
      </c>
      <c r="W276">
        <f>IF(OR(ISNUMBER(SEARCH("siding",D276)),ISNUMBER(SEARCH("rcr",D276)),ISNUMBER(SEARCH("rail",D276)),ISNUMBER(SEARCH("wagon",D276))),"Yes - siding/rail in title","Check")</f>
        <v/>
      </c>
      <c r="X276">
        <f>Settings!$B$6</f>
        <v/>
      </c>
    </row>
    <row r="277">
      <c r="A277" t="inlineStr">
        <is>
          <t>D &gt;500 km</t>
        </is>
      </c>
      <c r="B277" t="inlineStr">
        <is>
          <t>16342758</t>
        </is>
      </c>
      <c r="C277" t="inlineStr">
        <is>
          <t>2025_MPPGC_440799_1</t>
        </is>
      </c>
      <c r="D277" t="inlineStr">
        <is>
          <t>transportation with loading of coal from sharda ug mine (kanhan area, m/s wcl) to stps, sarni using completely covered and sealed tipper/tru</t>
        </is>
      </c>
      <c r="E277" t="inlineStr">
        <is>
          <t>Coal transport (road)</t>
        </is>
      </c>
      <c r="F277" t="inlineStr">
        <is>
          <t>Madhya Pradesh Power Generating Company Limited</t>
        </is>
      </c>
      <c r="G277" t="inlineStr">
        <is>
          <t>Madhya Pradesh</t>
        </is>
      </c>
      <c r="H277" t="inlineStr">
        <is>
          <t>Betul</t>
        </is>
      </c>
      <c r="I277" t="inlineStr">
        <is>
          <t>2025-10-13</t>
        </is>
      </c>
      <c r="J277" t="inlineStr">
        <is>
          <t>Financial</t>
        </is>
      </c>
      <c r="K277" t="inlineStr">
        <is>
          <t>-</t>
        </is>
      </c>
      <c r="L277" t="inlineStr"/>
      <c r="M277" t="inlineStr">
        <is>
          <t>5 named / 6</t>
        </is>
      </c>
      <c r="O277" t="n">
        <v>567</v>
      </c>
      <c r="P277">
        <f>MAX(O277,Settings!$B$13)*Settings!$B$7</f>
        <v/>
      </c>
      <c r="Q277">
        <f>MAX(O277,Settings!$B$13)*Settings!$B$8</f>
        <v/>
      </c>
      <c r="R277" s="4">
        <f>MAX(P277*Settings!$B$5,IF(ISNUMBER(Settings!$B$12),Settings!$B$12,0))*(1+IF(Settings!$B$11="Y",0,Settings!$B$10/100))+N(Settings!$B$9)</f>
        <v/>
      </c>
      <c r="S277" s="4">
        <f>IF(Q277&gt;1000,"beyond table",IFERROR(LOOKUP(Q277,'FOIS 145A'!$A$2:$A$22,'FOIS 145A'!$C$2:$C$22),""))</f>
        <v/>
      </c>
      <c r="T277" s="4">
        <f>IF(ISNUMBER(S277),S277*(1+IF(Settings!$B$11="Y",0,Settings!$B$10/100))+2*N(Settings!$B$9),"")</f>
        <v/>
      </c>
      <c r="U277">
        <f>IF(ISNUMBER(T277),IF(T277&lt;R277,"Rail","Road"),"")</f>
        <v/>
      </c>
      <c r="V277" s="4">
        <f>IF(ISNUMBER(T277),ABS(R277-T277),"")</f>
        <v/>
      </c>
      <c r="W277">
        <f>IF(OR(ISNUMBER(SEARCH("siding",D277)),ISNUMBER(SEARCH("rcr",D277)),ISNUMBER(SEARCH("rail",D277)),ISNUMBER(SEARCH("wagon",D277))),"Yes - siding/rail in title","Check")</f>
        <v/>
      </c>
      <c r="X277">
        <f>Settings!$B$6</f>
        <v/>
      </c>
    </row>
    <row r="278">
      <c r="A278" t="inlineStr">
        <is>
          <t>D &gt;500 km</t>
        </is>
      </c>
      <c r="B278" t="inlineStr">
        <is>
          <t>15150128</t>
        </is>
      </c>
      <c r="C278" t="inlineStr">
        <is>
          <t>2025_MPPGC_435687_1</t>
        </is>
      </c>
      <c r="D278" t="inlineStr">
        <is>
          <t>transportation with loading of coal into tippers directly through chute/hopper/ground from tawa-i mine of pathakhera area of m/s wcl to stps</t>
        </is>
      </c>
      <c r="E278" t="inlineStr">
        <is>
          <t>Coal transport (road)</t>
        </is>
      </c>
      <c r="F278" t="inlineStr">
        <is>
          <t>Madhya Pradesh Power Generating Company Limited</t>
        </is>
      </c>
      <c r="G278" t="inlineStr">
        <is>
          <t>Madhya Pradesh</t>
        </is>
      </c>
      <c r="H278" t="inlineStr">
        <is>
          <t>Betul</t>
        </is>
      </c>
      <c r="I278" t="inlineStr">
        <is>
          <t>2025-09-08</t>
        </is>
      </c>
      <c r="J278" t="inlineStr">
        <is>
          <t>Financial</t>
        </is>
      </c>
      <c r="K278" t="inlineStr">
        <is>
          <t>-</t>
        </is>
      </c>
      <c r="L278" t="inlineStr"/>
      <c r="M278" t="inlineStr">
        <is>
          <t>5 named / 6</t>
        </is>
      </c>
      <c r="O278" t="n">
        <v>567</v>
      </c>
      <c r="P278">
        <f>MAX(O278,Settings!$B$13)*Settings!$B$7</f>
        <v/>
      </c>
      <c r="Q278">
        <f>MAX(O278,Settings!$B$13)*Settings!$B$8</f>
        <v/>
      </c>
      <c r="R278" s="4">
        <f>MAX(P278*Settings!$B$5,IF(ISNUMBER(Settings!$B$12),Settings!$B$12,0))*(1+IF(Settings!$B$11="Y",0,Settings!$B$10/100))+N(Settings!$B$9)</f>
        <v/>
      </c>
      <c r="S278" s="4">
        <f>IF(Q278&gt;1000,"beyond table",IFERROR(LOOKUP(Q278,'FOIS 145A'!$A$2:$A$22,'FOIS 145A'!$C$2:$C$22),""))</f>
        <v/>
      </c>
      <c r="T278" s="4">
        <f>IF(ISNUMBER(S278),S278*(1+IF(Settings!$B$11="Y",0,Settings!$B$10/100))+2*N(Settings!$B$9),"")</f>
        <v/>
      </c>
      <c r="U278">
        <f>IF(ISNUMBER(T278),IF(T278&lt;R278,"Rail","Road"),"")</f>
        <v/>
      </c>
      <c r="V278" s="4">
        <f>IF(ISNUMBER(T278),ABS(R278-T278),"")</f>
        <v/>
      </c>
      <c r="W278">
        <f>IF(OR(ISNUMBER(SEARCH("siding",D278)),ISNUMBER(SEARCH("rcr",D278)),ISNUMBER(SEARCH("rail",D278)),ISNUMBER(SEARCH("wagon",D278))),"Yes - siding/rail in title","Check")</f>
        <v/>
      </c>
      <c r="X278">
        <f>Settings!$B$6</f>
        <v/>
      </c>
    </row>
    <row r="279">
      <c r="A279" t="inlineStr">
        <is>
          <t>D &gt;500 km</t>
        </is>
      </c>
      <c r="B279" t="inlineStr">
        <is>
          <t>15094261</t>
        </is>
      </c>
      <c r="C279" t="inlineStr">
        <is>
          <t>2025_MPPGC_435686_1</t>
        </is>
      </c>
      <c r="D279" t="inlineStr">
        <is>
          <t>transportation with loading of coal into tippers directly through chute/hopper/ground from tawa-ii mine of pathakhera area of m/s wcl to stp</t>
        </is>
      </c>
      <c r="E279" t="inlineStr">
        <is>
          <t>Coal transport (road)</t>
        </is>
      </c>
      <c r="F279" t="inlineStr">
        <is>
          <t>Madhya Pradesh Power Generating Company Limited</t>
        </is>
      </c>
      <c r="G279" t="inlineStr">
        <is>
          <t>Madhya Pradesh</t>
        </is>
      </c>
      <c r="H279" t="inlineStr">
        <is>
          <t>Betul</t>
        </is>
      </c>
      <c r="I279" t="inlineStr">
        <is>
          <t>2025-09-08</t>
        </is>
      </c>
      <c r="J279" t="inlineStr">
        <is>
          <t>Financial</t>
        </is>
      </c>
      <c r="K279" t="inlineStr">
        <is>
          <t>-</t>
        </is>
      </c>
      <c r="L279" t="inlineStr"/>
      <c r="M279" t="inlineStr">
        <is>
          <t>5 named / 5</t>
        </is>
      </c>
      <c r="O279" t="n">
        <v>567</v>
      </c>
      <c r="P279">
        <f>MAX(O279,Settings!$B$13)*Settings!$B$7</f>
        <v/>
      </c>
      <c r="Q279">
        <f>MAX(O279,Settings!$B$13)*Settings!$B$8</f>
        <v/>
      </c>
      <c r="R279" s="4">
        <f>MAX(P279*Settings!$B$5,IF(ISNUMBER(Settings!$B$12),Settings!$B$12,0))*(1+IF(Settings!$B$11="Y",0,Settings!$B$10/100))+N(Settings!$B$9)</f>
        <v/>
      </c>
      <c r="S279" s="4">
        <f>IF(Q279&gt;1000,"beyond table",IFERROR(LOOKUP(Q279,'FOIS 145A'!$A$2:$A$22,'FOIS 145A'!$C$2:$C$22),""))</f>
        <v/>
      </c>
      <c r="T279" s="4">
        <f>IF(ISNUMBER(S279),S279*(1+IF(Settings!$B$11="Y",0,Settings!$B$10/100))+2*N(Settings!$B$9),"")</f>
        <v/>
      </c>
      <c r="U279">
        <f>IF(ISNUMBER(T279),IF(T279&lt;R279,"Rail","Road"),"")</f>
        <v/>
      </c>
      <c r="V279" s="4">
        <f>IF(ISNUMBER(T279),ABS(R279-T279),"")</f>
        <v/>
      </c>
      <c r="W279">
        <f>IF(OR(ISNUMBER(SEARCH("siding",D279)),ISNUMBER(SEARCH("rcr",D279)),ISNUMBER(SEARCH("rail",D279)),ISNUMBER(SEARCH("wagon",D279))),"Yes - siding/rail in title","Check")</f>
        <v/>
      </c>
      <c r="X279">
        <f>Settings!$B$6</f>
        <v/>
      </c>
    </row>
    <row r="280">
      <c r="A280" t="inlineStr">
        <is>
          <t>D &gt;500 km</t>
        </is>
      </c>
      <c r="B280" t="inlineStr">
        <is>
          <t>13149327</t>
        </is>
      </c>
      <c r="C280" t="inlineStr">
        <is>
          <t>2024_MPPGC_381839_1</t>
        </is>
      </c>
      <c r="D280" t="inlineStr">
        <is>
          <t>transportation with loading of coal from ground/ chute of dhankasa ug of pench area mine of m/s wcl to stps, sarni by contractor in complete</t>
        </is>
      </c>
      <c r="E280" t="inlineStr">
        <is>
          <t>Coal transport (road)</t>
        </is>
      </c>
      <c r="F280" t="inlineStr">
        <is>
          <t>Madhya Pradesh Power Generating Company Limited</t>
        </is>
      </c>
      <c r="G280" t="inlineStr">
        <is>
          <t>Madhya Pradesh</t>
        </is>
      </c>
      <c r="H280" t="inlineStr">
        <is>
          <t>Betul</t>
        </is>
      </c>
      <c r="I280" t="inlineStr">
        <is>
          <t>2025-01-27</t>
        </is>
      </c>
      <c r="J280" t="inlineStr">
        <is>
          <t>Financial</t>
        </is>
      </c>
      <c r="K280" t="inlineStr">
        <is>
          <t>-</t>
        </is>
      </c>
      <c r="L280" t="inlineStr"/>
      <c r="M280" t="inlineStr">
        <is>
          <t>5 named / 8</t>
        </is>
      </c>
      <c r="O280" t="n">
        <v>567</v>
      </c>
      <c r="P280">
        <f>MAX(O280,Settings!$B$13)*Settings!$B$7</f>
        <v/>
      </c>
      <c r="Q280">
        <f>MAX(O280,Settings!$B$13)*Settings!$B$8</f>
        <v/>
      </c>
      <c r="R280" s="4">
        <f>MAX(P280*Settings!$B$5,IF(ISNUMBER(Settings!$B$12),Settings!$B$12,0))*(1+IF(Settings!$B$11="Y",0,Settings!$B$10/100))+N(Settings!$B$9)</f>
        <v/>
      </c>
      <c r="S280" s="4">
        <f>IF(Q280&gt;1000,"beyond table",IFERROR(LOOKUP(Q280,'FOIS 145A'!$A$2:$A$22,'FOIS 145A'!$C$2:$C$22),""))</f>
        <v/>
      </c>
      <c r="T280" s="4">
        <f>IF(ISNUMBER(S280),S280*(1+IF(Settings!$B$11="Y",0,Settings!$B$10/100))+2*N(Settings!$B$9),"")</f>
        <v/>
      </c>
      <c r="U280">
        <f>IF(ISNUMBER(T280),IF(T280&lt;R280,"Rail","Road"),"")</f>
        <v/>
      </c>
      <c r="V280" s="4">
        <f>IF(ISNUMBER(T280),ABS(R280-T280),"")</f>
        <v/>
      </c>
      <c r="W280">
        <f>IF(OR(ISNUMBER(SEARCH("siding",D280)),ISNUMBER(SEARCH("rcr",D280)),ISNUMBER(SEARCH("rail",D280)),ISNUMBER(SEARCH("wagon",D280))),"Yes - siding/rail in title","Check")</f>
        <v/>
      </c>
      <c r="X280">
        <f>Settings!$B$6</f>
        <v/>
      </c>
    </row>
    <row r="281">
      <c r="A281" t="inlineStr">
        <is>
          <t>D &gt;500 km</t>
        </is>
      </c>
      <c r="B281" t="inlineStr">
        <is>
          <t>12915249</t>
        </is>
      </c>
      <c r="C281" t="inlineStr">
        <is>
          <t>2024_MPPGC_389690_1</t>
        </is>
      </c>
      <c r="D281" t="inlineStr">
        <is>
          <t>transportation with loading of coal from urdhan ocm of pench area of m/s wcl to stps, sarni by contractor in completely covered and sealed t</t>
        </is>
      </c>
      <c r="E281" t="inlineStr">
        <is>
          <t>Coal transport (road)</t>
        </is>
      </c>
      <c r="F281" t="inlineStr">
        <is>
          <t>Madhya Pradesh Power Generating Company Limited</t>
        </is>
      </c>
      <c r="G281" t="inlineStr">
        <is>
          <t>Madhya Pradesh</t>
        </is>
      </c>
      <c r="H281" t="inlineStr">
        <is>
          <t>Betul</t>
        </is>
      </c>
      <c r="I281" t="inlineStr">
        <is>
          <t>2025-01-23</t>
        </is>
      </c>
      <c r="J281" t="inlineStr">
        <is>
          <t>AOC</t>
        </is>
      </c>
      <c r="K281" t="inlineStr">
        <is>
          <t>Avaneesh Logistics Private Limited, Imperial Trucking, Saluja Transport Company</t>
        </is>
      </c>
      <c r="L281" t="inlineStr"/>
      <c r="M281" t="inlineStr">
        <is>
          <t>5 named / 5</t>
        </is>
      </c>
      <c r="N281" t="n">
        <v>18.66</v>
      </c>
      <c r="O281" t="n">
        <v>567</v>
      </c>
      <c r="P281">
        <f>MAX(O281,Settings!$B$13)*Settings!$B$7</f>
        <v/>
      </c>
      <c r="Q281">
        <f>MAX(O281,Settings!$B$13)*Settings!$B$8</f>
        <v/>
      </c>
      <c r="R281" s="4">
        <f>MAX(P281*Settings!$B$5,IF(ISNUMBER(Settings!$B$12),Settings!$B$12,0))*(1+IF(Settings!$B$11="Y",0,Settings!$B$10/100))+N(Settings!$B$9)</f>
        <v/>
      </c>
      <c r="S281" s="4">
        <f>IF(Q281&gt;1000,"beyond table",IFERROR(LOOKUP(Q281,'FOIS 145A'!$A$2:$A$22,'FOIS 145A'!$C$2:$C$22),""))</f>
        <v/>
      </c>
      <c r="T281" s="4">
        <f>IF(ISNUMBER(S281),S281*(1+IF(Settings!$B$11="Y",0,Settings!$B$10/100))+2*N(Settings!$B$9),"")</f>
        <v/>
      </c>
      <c r="U281">
        <f>IF(ISNUMBER(T281),IF(T281&lt;R281,"Rail","Road"),"")</f>
        <v/>
      </c>
      <c r="V281" s="4">
        <f>IF(ISNUMBER(T281),ABS(R281-T281),"")</f>
        <v/>
      </c>
      <c r="W281">
        <f>IF(OR(ISNUMBER(SEARCH("siding",D281)),ISNUMBER(SEARCH("rcr",D281)),ISNUMBER(SEARCH("rail",D281)),ISNUMBER(SEARCH("wagon",D281))),"Yes - siding/rail in title","Check")</f>
        <v/>
      </c>
      <c r="X281">
        <f>Settings!$B$6</f>
        <v/>
      </c>
    </row>
    <row r="282">
      <c r="A282" t="inlineStr">
        <is>
          <t>D &gt;500 km</t>
        </is>
      </c>
      <c r="B282" t="inlineStr">
        <is>
          <t>16776325</t>
        </is>
      </c>
      <c r="C282" t="inlineStr">
        <is>
          <t>GEM/2026/B/7178352</t>
        </is>
      </c>
      <c r="D282" t="inlineStr">
        <is>
          <t>handling &amp; transport service, crushing of rom coal by hiring of mobile crusher and transportation of crushed coal from ukni ocm to wani rail</t>
        </is>
      </c>
      <c r="E282" t="inlineStr">
        <is>
          <t>Coal transport (RCR / siding)</t>
        </is>
      </c>
      <c r="F282" t="inlineStr">
        <is>
          <t>Western Coalfields Limited</t>
        </is>
      </c>
      <c r="G282" t="inlineStr">
        <is>
          <t>Maharashtra</t>
        </is>
      </c>
      <c r="H282" t="inlineStr">
        <is>
          <t>Yavatmal</t>
        </is>
      </c>
      <c r="I282" t="inlineStr">
        <is>
          <t>2026-02-18</t>
        </is>
      </c>
      <c r="J282" t="inlineStr">
        <is>
          <t>AOC</t>
        </is>
      </c>
      <c r="K282" t="inlineStr">
        <is>
          <t>Krishna Infrastructure</t>
        </is>
      </c>
      <c r="L282" t="inlineStr">
        <is>
          <t>Krishna Infrastructure</t>
        </is>
      </c>
      <c r="M282" t="inlineStr">
        <is>
          <t>5 named / 13</t>
        </is>
      </c>
      <c r="N282" t="n">
        <v>94.52</v>
      </c>
      <c r="O282" t="n">
        <v>572</v>
      </c>
      <c r="P282">
        <f>MAX(O282,Settings!$B$13)*Settings!$B$7</f>
        <v/>
      </c>
      <c r="Q282">
        <f>MAX(O282,Settings!$B$13)*Settings!$B$8</f>
        <v/>
      </c>
      <c r="R282" s="4">
        <f>MAX(P282*Settings!$B$5,IF(ISNUMBER(Settings!$B$12),Settings!$B$12,0))*(1+IF(Settings!$B$11="Y",0,Settings!$B$10/100))+N(Settings!$B$9)</f>
        <v/>
      </c>
      <c r="S282" s="4">
        <f>IF(Q282&gt;1000,"beyond table",IFERROR(LOOKUP(Q282,'FOIS 145A'!$A$2:$A$22,'FOIS 145A'!$C$2:$C$22),""))</f>
        <v/>
      </c>
      <c r="T282" s="4">
        <f>IF(ISNUMBER(S282),S282*(1+IF(Settings!$B$11="Y",0,Settings!$B$10/100))+2*N(Settings!$B$9),"")</f>
        <v/>
      </c>
      <c r="U282">
        <f>IF(ISNUMBER(T282),IF(T282&lt;R282,"Rail","Road"),"")</f>
        <v/>
      </c>
      <c r="V282" s="4">
        <f>IF(ISNUMBER(T282),ABS(R282-T282),"")</f>
        <v/>
      </c>
      <c r="W282">
        <f>IF(OR(ISNUMBER(SEARCH("siding",D282)),ISNUMBER(SEARCH("rcr",D282)),ISNUMBER(SEARCH("rail",D282)),ISNUMBER(SEARCH("wagon",D282))),"Yes - siding/rail in title","Check")</f>
        <v/>
      </c>
      <c r="X282">
        <f>Settings!$B$6</f>
        <v/>
      </c>
    </row>
    <row r="283">
      <c r="A283" t="inlineStr">
        <is>
          <t>D &gt;500 km</t>
        </is>
      </c>
      <c r="B283" t="inlineStr">
        <is>
          <t>18202192</t>
        </is>
      </c>
      <c r="C283" t="inlineStr">
        <is>
          <t>GEM/2026/B/7846340</t>
        </is>
      </c>
      <c r="D283" t="inlineStr">
        <is>
          <t>handling &amp; transport service, coal transportation and commissioning, installation &amp; operation of mobile crusher at ukni deep ocm of wani nor</t>
        </is>
      </c>
      <c r="E283" t="inlineStr">
        <is>
          <t>Coal transport (road)</t>
        </is>
      </c>
      <c r="F283" t="inlineStr">
        <is>
          <t>Western Coalfields Limited</t>
        </is>
      </c>
      <c r="G283" t="inlineStr">
        <is>
          <t>Maharashtra</t>
        </is>
      </c>
      <c r="H283" t="inlineStr">
        <is>
          <t>Yavatmal</t>
        </is>
      </c>
      <c r="I283" t="inlineStr">
        <is>
          <t>2026-08-12</t>
        </is>
      </c>
      <c r="J283" t="inlineStr">
        <is>
          <t>AOC</t>
        </is>
      </c>
      <c r="K283" t="inlineStr">
        <is>
          <t>Mahavir Coal Resources Private Limited</t>
        </is>
      </c>
      <c r="L283" t="inlineStr"/>
      <c r="M283" t="inlineStr">
        <is>
          <t>5 named / 13</t>
        </is>
      </c>
      <c r="N283" t="n">
        <v>113.68</v>
      </c>
      <c r="O283" t="n">
        <v>572</v>
      </c>
      <c r="P283">
        <f>MAX(O283,Settings!$B$13)*Settings!$B$7</f>
        <v/>
      </c>
      <c r="Q283">
        <f>MAX(O283,Settings!$B$13)*Settings!$B$8</f>
        <v/>
      </c>
      <c r="R283" s="4">
        <f>MAX(P283*Settings!$B$5,IF(ISNUMBER(Settings!$B$12),Settings!$B$12,0))*(1+IF(Settings!$B$11="Y",0,Settings!$B$10/100))+N(Settings!$B$9)</f>
        <v/>
      </c>
      <c r="S283" s="4">
        <f>IF(Q283&gt;1000,"beyond table",IFERROR(LOOKUP(Q283,'FOIS 145A'!$A$2:$A$22,'FOIS 145A'!$C$2:$C$22),""))</f>
        <v/>
      </c>
      <c r="T283" s="4">
        <f>IF(ISNUMBER(S283),S283*(1+IF(Settings!$B$11="Y",0,Settings!$B$10/100))+2*N(Settings!$B$9),"")</f>
        <v/>
      </c>
      <c r="U283">
        <f>IF(ISNUMBER(T283),IF(T283&lt;R283,"Rail","Road"),"")</f>
        <v/>
      </c>
      <c r="V283" s="4">
        <f>IF(ISNUMBER(T283),ABS(R283-T283),"")</f>
        <v/>
      </c>
      <c r="W283">
        <f>IF(OR(ISNUMBER(SEARCH("siding",D283)),ISNUMBER(SEARCH("rcr",D283)),ISNUMBER(SEARCH("rail",D283)),ISNUMBER(SEARCH("wagon",D283))),"Yes - siding/rail in title","Check")</f>
        <v/>
      </c>
      <c r="X283">
        <f>Settings!$B$6</f>
        <v/>
      </c>
    </row>
    <row r="284">
      <c r="A284" t="inlineStr">
        <is>
          <t>D &gt;500 km</t>
        </is>
      </c>
      <c r="B284" t="inlineStr">
        <is>
          <t>18305340</t>
        </is>
      </c>
      <c r="C284" t="inlineStr">
        <is>
          <t>GEM/2026/B/7846499</t>
        </is>
      </c>
      <c r="D284" t="inlineStr">
        <is>
          <t>handling &amp; transport service, coal transportation at ghonsa ocm of wani north area</t>
        </is>
      </c>
      <c r="E284" t="inlineStr">
        <is>
          <t>Coal transport (road)</t>
        </is>
      </c>
      <c r="F284" t="inlineStr">
        <is>
          <t>Western Coalfields Limited</t>
        </is>
      </c>
      <c r="G284" t="inlineStr">
        <is>
          <t>Maharashtra</t>
        </is>
      </c>
      <c r="H284" t="inlineStr">
        <is>
          <t>Yavatmal</t>
        </is>
      </c>
      <c r="I284" t="inlineStr">
        <is>
          <t>2026-08-12</t>
        </is>
      </c>
      <c r="J284" t="inlineStr">
        <is>
          <t>Financial</t>
        </is>
      </c>
      <c r="K284" t="inlineStr">
        <is>
          <t>-</t>
        </is>
      </c>
      <c r="L284" t="inlineStr"/>
      <c r="M284" t="inlineStr">
        <is>
          <t>5 named / 12</t>
        </is>
      </c>
      <c r="O284" t="n">
        <v>572</v>
      </c>
      <c r="P284">
        <f>MAX(O284,Settings!$B$13)*Settings!$B$7</f>
        <v/>
      </c>
      <c r="Q284">
        <f>MAX(O284,Settings!$B$13)*Settings!$B$8</f>
        <v/>
      </c>
      <c r="R284" s="4">
        <f>MAX(P284*Settings!$B$5,IF(ISNUMBER(Settings!$B$12),Settings!$B$12,0))*(1+IF(Settings!$B$11="Y",0,Settings!$B$10/100))+N(Settings!$B$9)</f>
        <v/>
      </c>
      <c r="S284" s="4">
        <f>IF(Q284&gt;1000,"beyond table",IFERROR(LOOKUP(Q284,'FOIS 145A'!$A$2:$A$22,'FOIS 145A'!$C$2:$C$22),""))</f>
        <v/>
      </c>
      <c r="T284" s="4">
        <f>IF(ISNUMBER(S284),S284*(1+IF(Settings!$B$11="Y",0,Settings!$B$10/100))+2*N(Settings!$B$9),"")</f>
        <v/>
      </c>
      <c r="U284">
        <f>IF(ISNUMBER(T284),IF(T284&lt;R284,"Rail","Road"),"")</f>
        <v/>
      </c>
      <c r="V284" s="4">
        <f>IF(ISNUMBER(T284),ABS(R284-T284),"")</f>
        <v/>
      </c>
      <c r="W284">
        <f>IF(OR(ISNUMBER(SEARCH("siding",D284)),ISNUMBER(SEARCH("rcr",D284)),ISNUMBER(SEARCH("rail",D284)),ISNUMBER(SEARCH("wagon",D284))),"Yes - siding/rail in title","Check")</f>
        <v/>
      </c>
      <c r="X284">
        <f>Settings!$B$6</f>
        <v/>
      </c>
    </row>
    <row r="285">
      <c r="A285" t="inlineStr">
        <is>
          <t>D &gt;500 km</t>
        </is>
      </c>
      <c r="B285" t="inlineStr">
        <is>
          <t>17631988</t>
        </is>
      </c>
      <c r="C285" t="inlineStr">
        <is>
          <t>GEM/2026/B/7633420</t>
        </is>
      </c>
      <c r="D285" t="inlineStr">
        <is>
          <t>handling &amp; transport service, loading and coal transportation at ghonsa ocm of wani north area</t>
        </is>
      </c>
      <c r="E285" t="inlineStr">
        <is>
          <t>Coal transport (road)</t>
        </is>
      </c>
      <c r="F285" t="inlineStr">
        <is>
          <t>Western Coalfields Limited</t>
        </is>
      </c>
      <c r="G285" t="inlineStr">
        <is>
          <t>Maharashtra</t>
        </is>
      </c>
      <c r="H285" t="inlineStr">
        <is>
          <t>Yavatmal</t>
        </is>
      </c>
      <c r="I285" t="inlineStr">
        <is>
          <t>2026-06-22</t>
        </is>
      </c>
      <c r="J285" t="inlineStr">
        <is>
          <t>Financial</t>
        </is>
      </c>
      <c r="K285" t="inlineStr">
        <is>
          <t>-</t>
        </is>
      </c>
      <c r="L285" t="inlineStr"/>
      <c r="M285" t="inlineStr">
        <is>
          <t>4 named / 4</t>
        </is>
      </c>
      <c r="O285" t="n">
        <v>572</v>
      </c>
      <c r="P285">
        <f>MAX(O285,Settings!$B$13)*Settings!$B$7</f>
        <v/>
      </c>
      <c r="Q285">
        <f>MAX(O285,Settings!$B$13)*Settings!$B$8</f>
        <v/>
      </c>
      <c r="R285" s="4">
        <f>MAX(P285*Settings!$B$5,IF(ISNUMBER(Settings!$B$12),Settings!$B$12,0))*(1+IF(Settings!$B$11="Y",0,Settings!$B$10/100))+N(Settings!$B$9)</f>
        <v/>
      </c>
      <c r="S285" s="4">
        <f>IF(Q285&gt;1000,"beyond table",IFERROR(LOOKUP(Q285,'FOIS 145A'!$A$2:$A$22,'FOIS 145A'!$C$2:$C$22),""))</f>
        <v/>
      </c>
      <c r="T285" s="4">
        <f>IF(ISNUMBER(S285),S285*(1+IF(Settings!$B$11="Y",0,Settings!$B$10/100))+2*N(Settings!$B$9),"")</f>
        <v/>
      </c>
      <c r="U285">
        <f>IF(ISNUMBER(T285),IF(T285&lt;R285,"Rail","Road"),"")</f>
        <v/>
      </c>
      <c r="V285" s="4">
        <f>IF(ISNUMBER(T285),ABS(R285-T285),"")</f>
        <v/>
      </c>
      <c r="W285">
        <f>IF(OR(ISNUMBER(SEARCH("siding",D285)),ISNUMBER(SEARCH("rcr",D285)),ISNUMBER(SEARCH("rail",D285)),ISNUMBER(SEARCH("wagon",D285))),"Yes - siding/rail in title","Check")</f>
        <v/>
      </c>
      <c r="X285">
        <f>Settings!$B$6</f>
        <v/>
      </c>
    </row>
    <row r="286">
      <c r="A286" t="inlineStr">
        <is>
          <t>D &gt;500 km</t>
        </is>
      </c>
      <c r="B286" t="inlineStr">
        <is>
          <t>17438629</t>
        </is>
      </c>
      <c r="C286" t="inlineStr">
        <is>
          <t>GEM/2026/B/7492480</t>
        </is>
      </c>
      <c r="D286" t="inlineStr">
        <is>
          <t>handling &amp; transport service, crushing, loading and transportation of coal at ukni deep ocm of wani north area</t>
        </is>
      </c>
      <c r="E286" t="inlineStr">
        <is>
          <t>Coal transport (road)</t>
        </is>
      </c>
      <c r="F286" t="inlineStr">
        <is>
          <t>Western Coalfields Limited</t>
        </is>
      </c>
      <c r="G286" t="inlineStr">
        <is>
          <t>Maharashtra</t>
        </is>
      </c>
      <c r="H286" t="inlineStr">
        <is>
          <t>Yavatmal</t>
        </is>
      </c>
      <c r="I286" t="inlineStr">
        <is>
          <t>2026-05-15</t>
        </is>
      </c>
      <c r="J286" t="inlineStr">
        <is>
          <t>Financial</t>
        </is>
      </c>
      <c r="K286" t="inlineStr">
        <is>
          <t>-</t>
        </is>
      </c>
      <c r="L286" t="inlineStr"/>
      <c r="M286" t="inlineStr">
        <is>
          <t>5 named / 7</t>
        </is>
      </c>
      <c r="O286" t="n">
        <v>572</v>
      </c>
      <c r="P286">
        <f>MAX(O286,Settings!$B$13)*Settings!$B$7</f>
        <v/>
      </c>
      <c r="Q286">
        <f>MAX(O286,Settings!$B$13)*Settings!$B$8</f>
        <v/>
      </c>
      <c r="R286" s="4">
        <f>MAX(P286*Settings!$B$5,IF(ISNUMBER(Settings!$B$12),Settings!$B$12,0))*(1+IF(Settings!$B$11="Y",0,Settings!$B$10/100))+N(Settings!$B$9)</f>
        <v/>
      </c>
      <c r="S286" s="4">
        <f>IF(Q286&gt;1000,"beyond table",IFERROR(LOOKUP(Q286,'FOIS 145A'!$A$2:$A$22,'FOIS 145A'!$C$2:$C$22),""))</f>
        <v/>
      </c>
      <c r="T286" s="4">
        <f>IF(ISNUMBER(S286),S286*(1+IF(Settings!$B$11="Y",0,Settings!$B$10/100))+2*N(Settings!$B$9),"")</f>
        <v/>
      </c>
      <c r="U286">
        <f>IF(ISNUMBER(T286),IF(T286&lt;R286,"Rail","Road"),"")</f>
        <v/>
      </c>
      <c r="V286" s="4">
        <f>IF(ISNUMBER(T286),ABS(R286-T286),"")</f>
        <v/>
      </c>
      <c r="W286">
        <f>IF(OR(ISNUMBER(SEARCH("siding",D286)),ISNUMBER(SEARCH("rcr",D286)),ISNUMBER(SEARCH("rail",D286)),ISNUMBER(SEARCH("wagon",D286))),"Yes - siding/rail in title","Check")</f>
        <v/>
      </c>
      <c r="X286">
        <f>Settings!$B$6</f>
        <v/>
      </c>
    </row>
    <row r="287">
      <c r="A287" t="inlineStr">
        <is>
          <t>D &gt;500 km</t>
        </is>
      </c>
      <c r="B287" t="inlineStr">
        <is>
          <t>16820948</t>
        </is>
      </c>
      <c r="C287" t="inlineStr">
        <is>
          <t>GEM/2026/B/7064146</t>
        </is>
      </c>
      <c r="D287" t="inlineStr">
        <is>
          <t>handling &amp; transport service, coal transportation at ghonsa ocm of wani north area</t>
        </is>
      </c>
      <c r="E287" t="inlineStr">
        <is>
          <t>Coal transport (road)</t>
        </is>
      </c>
      <c r="F287" t="inlineStr">
        <is>
          <t>Western Coalfields Limited</t>
        </is>
      </c>
      <c r="G287" t="inlineStr">
        <is>
          <t>Maharashtra</t>
        </is>
      </c>
      <c r="H287" t="inlineStr">
        <is>
          <t>Yavatmal</t>
        </is>
      </c>
      <c r="I287" t="inlineStr">
        <is>
          <t>2026-01-19</t>
        </is>
      </c>
      <c r="J287" t="inlineStr">
        <is>
          <t>AOC</t>
        </is>
      </c>
      <c r="K287" t="inlineStr">
        <is>
          <t>Krishna Infrastructure</t>
        </is>
      </c>
      <c r="L287" t="inlineStr"/>
      <c r="M287" t="inlineStr">
        <is>
          <t>5 named / 13</t>
        </is>
      </c>
      <c r="N287" t="n">
        <v>33.25</v>
      </c>
      <c r="O287" t="n">
        <v>572</v>
      </c>
      <c r="P287">
        <f>MAX(O287,Settings!$B$13)*Settings!$B$7</f>
        <v/>
      </c>
      <c r="Q287">
        <f>MAX(O287,Settings!$B$13)*Settings!$B$8</f>
        <v/>
      </c>
      <c r="R287" s="4">
        <f>MAX(P287*Settings!$B$5,IF(ISNUMBER(Settings!$B$12),Settings!$B$12,0))*(1+IF(Settings!$B$11="Y",0,Settings!$B$10/100))+N(Settings!$B$9)</f>
        <v/>
      </c>
      <c r="S287" s="4">
        <f>IF(Q287&gt;1000,"beyond table",IFERROR(LOOKUP(Q287,'FOIS 145A'!$A$2:$A$22,'FOIS 145A'!$C$2:$C$22),""))</f>
        <v/>
      </c>
      <c r="T287" s="4">
        <f>IF(ISNUMBER(S287),S287*(1+IF(Settings!$B$11="Y",0,Settings!$B$10/100))+2*N(Settings!$B$9),"")</f>
        <v/>
      </c>
      <c r="U287">
        <f>IF(ISNUMBER(T287),IF(T287&lt;R287,"Rail","Road"),"")</f>
        <v/>
      </c>
      <c r="V287" s="4">
        <f>IF(ISNUMBER(T287),ABS(R287-T287),"")</f>
        <v/>
      </c>
      <c r="W287">
        <f>IF(OR(ISNUMBER(SEARCH("siding",D287)),ISNUMBER(SEARCH("rcr",D287)),ISNUMBER(SEARCH("rail",D287)),ISNUMBER(SEARCH("wagon",D287))),"Yes - siding/rail in title","Check")</f>
        <v/>
      </c>
      <c r="X287">
        <f>Settings!$B$6</f>
        <v/>
      </c>
    </row>
    <row r="288">
      <c r="A288" t="inlineStr">
        <is>
          <t>D &gt;500 km</t>
        </is>
      </c>
      <c r="B288" t="inlineStr">
        <is>
          <t>17754039</t>
        </is>
      </c>
      <c r="C288" t="inlineStr">
        <is>
          <t>GEM/2026/B/7575176</t>
        </is>
      </c>
      <c r="D288" t="inlineStr">
        <is>
          <t xml:space="preserve">coal extraction, ob removal, handling &amp; transport service, hoe works by deploying blast free technology such as ripper or similar nature of </t>
        </is>
      </c>
      <c r="E288" t="inlineStr">
        <is>
          <t>Mining services (OB / extraction)</t>
        </is>
      </c>
      <c r="F288" t="inlineStr">
        <is>
          <t>Western Coalfields Limited</t>
        </is>
      </c>
      <c r="G288" t="inlineStr">
        <is>
          <t>Maharashtra</t>
        </is>
      </c>
      <c r="H288" t="inlineStr">
        <is>
          <t>Yavatmal</t>
        </is>
      </c>
      <c r="I288" t="inlineStr">
        <is>
          <t>2026-06-19</t>
        </is>
      </c>
      <c r="J288" t="inlineStr">
        <is>
          <t>AOC</t>
        </is>
      </c>
      <c r="K288" t="inlineStr">
        <is>
          <t>Kvrr Infrastructure Private Limited</t>
        </is>
      </c>
      <c r="L288" t="inlineStr"/>
      <c r="M288" t="inlineStr">
        <is>
          <t>4 named / 4</t>
        </is>
      </c>
      <c r="N288" t="n">
        <v>75.5</v>
      </c>
      <c r="O288" t="n">
        <v>572</v>
      </c>
      <c r="P288">
        <f>MAX(O288,Settings!$B$13)*Settings!$B$7</f>
        <v/>
      </c>
      <c r="Q288">
        <f>MAX(O288,Settings!$B$13)*Settings!$B$8</f>
        <v/>
      </c>
      <c r="R288" s="4">
        <f>MAX(P288*Settings!$B$5,IF(ISNUMBER(Settings!$B$12),Settings!$B$12,0))*(1+IF(Settings!$B$11="Y",0,Settings!$B$10/100))+N(Settings!$B$9)</f>
        <v/>
      </c>
      <c r="S288" s="4">
        <f>IF(Q288&gt;1000,"beyond table",IFERROR(LOOKUP(Q288,'FOIS 145A'!$A$2:$A$22,'FOIS 145A'!$C$2:$C$22),""))</f>
        <v/>
      </c>
      <c r="T288" s="4">
        <f>IF(ISNUMBER(S288),S288*(1+IF(Settings!$B$11="Y",0,Settings!$B$10/100))+2*N(Settings!$B$9),"")</f>
        <v/>
      </c>
      <c r="U288">
        <f>IF(ISNUMBER(T288),IF(T288&lt;R288,"Rail","Road"),"")</f>
        <v/>
      </c>
      <c r="V288" s="4">
        <f>IF(ISNUMBER(T288),ABS(R288-T288),"")</f>
        <v/>
      </c>
      <c r="W288">
        <f>IF(OR(ISNUMBER(SEARCH("siding",D288)),ISNUMBER(SEARCH("rcr",D288)),ISNUMBER(SEARCH("rail",D288)),ISNUMBER(SEARCH("wagon",D288))),"Yes - siding/rail in title","Check")</f>
        <v/>
      </c>
      <c r="X288">
        <f>Settings!$B$6</f>
        <v/>
      </c>
    </row>
    <row r="289">
      <c r="A289" t="inlineStr">
        <is>
          <t>D &gt;500 km</t>
        </is>
      </c>
      <c r="B289" t="inlineStr">
        <is>
          <t>17155019</t>
        </is>
      </c>
      <c r="C289" t="inlineStr">
        <is>
          <t>GEM/2026/B/7264482</t>
        </is>
      </c>
      <c r="D289" t="inlineStr">
        <is>
          <t>ob removal, coal extraction, hoe work at kolarpimpri ocm of wani north area wcl</t>
        </is>
      </c>
      <c r="E289" t="inlineStr">
        <is>
          <t>Mining services (OB / extraction)</t>
        </is>
      </c>
      <c r="F289" t="inlineStr">
        <is>
          <t>Western Coalfields Limited</t>
        </is>
      </c>
      <c r="G289" t="inlineStr">
        <is>
          <t>Maharashtra</t>
        </is>
      </c>
      <c r="H289" t="inlineStr">
        <is>
          <t>Yavatmal</t>
        </is>
      </c>
      <c r="I289" t="inlineStr">
        <is>
          <t>2026-03-09</t>
        </is>
      </c>
      <c r="J289" t="inlineStr">
        <is>
          <t>AOC</t>
        </is>
      </c>
      <c r="K289" t="inlineStr">
        <is>
          <t>Menakshi Con</t>
        </is>
      </c>
      <c r="L289" t="inlineStr">
        <is>
          <t>Caliber Mining and Logistics, G K Associates</t>
        </is>
      </c>
      <c r="M289" t="inlineStr">
        <is>
          <t>5 named / 14</t>
        </is>
      </c>
      <c r="N289" t="n">
        <v>380.64</v>
      </c>
      <c r="O289" t="n">
        <v>572</v>
      </c>
      <c r="P289">
        <f>MAX(O289,Settings!$B$13)*Settings!$B$7</f>
        <v/>
      </c>
      <c r="Q289">
        <f>MAX(O289,Settings!$B$13)*Settings!$B$8</f>
        <v/>
      </c>
      <c r="R289" s="4">
        <f>MAX(P289*Settings!$B$5,IF(ISNUMBER(Settings!$B$12),Settings!$B$12,0))*(1+IF(Settings!$B$11="Y",0,Settings!$B$10/100))+N(Settings!$B$9)</f>
        <v/>
      </c>
      <c r="S289" s="4">
        <f>IF(Q289&gt;1000,"beyond table",IFERROR(LOOKUP(Q289,'FOIS 145A'!$A$2:$A$22,'FOIS 145A'!$C$2:$C$22),""))</f>
        <v/>
      </c>
      <c r="T289" s="4">
        <f>IF(ISNUMBER(S289),S289*(1+IF(Settings!$B$11="Y",0,Settings!$B$10/100))+2*N(Settings!$B$9),"")</f>
        <v/>
      </c>
      <c r="U289">
        <f>IF(ISNUMBER(T289),IF(T289&lt;R289,"Rail","Road"),"")</f>
        <v/>
      </c>
      <c r="V289" s="4">
        <f>IF(ISNUMBER(T289),ABS(R289-T289),"")</f>
        <v/>
      </c>
      <c r="W289">
        <f>IF(OR(ISNUMBER(SEARCH("siding",D289)),ISNUMBER(SEARCH("rcr",D289)),ISNUMBER(SEARCH("rail",D289)),ISNUMBER(SEARCH("wagon",D289))),"Yes - siding/rail in title","Check")</f>
        <v/>
      </c>
      <c r="X289">
        <f>Settings!$B$6</f>
        <v/>
      </c>
    </row>
    <row r="290">
      <c r="A290" t="inlineStr">
        <is>
          <t>D &gt;500 km</t>
        </is>
      </c>
      <c r="B290" t="inlineStr">
        <is>
          <t>18305850</t>
        </is>
      </c>
      <c r="C290" t="inlineStr">
        <is>
          <t>GEM/2026/B/7977472</t>
        </is>
      </c>
      <c r="D290" t="inlineStr">
        <is>
          <t>supply of - domestic coal for ntpc (q3) -  | quantity - 500000</t>
        </is>
      </c>
      <c r="E290" t="inlineStr">
        <is>
          <t>Coal supply</t>
        </is>
      </c>
      <c r="F290" t="inlineStr">
        <is>
          <t>National Thermal Power Corporation Limited</t>
        </is>
      </c>
      <c r="G290" t="inlineStr">
        <is>
          <t>Telangana</t>
        </is>
      </c>
      <c r="H290" t="inlineStr">
        <is>
          <t>Karimnagar</t>
        </is>
      </c>
      <c r="I290" t="inlineStr">
        <is>
          <t>2026-09-18</t>
        </is>
      </c>
      <c r="J290" t="inlineStr">
        <is>
          <t>Financial</t>
        </is>
      </c>
      <c r="K290" t="inlineStr">
        <is>
          <t>-</t>
        </is>
      </c>
      <c r="L290" t="inlineStr">
        <is>
          <t>Godavari Commodities</t>
        </is>
      </c>
      <c r="M290" t="inlineStr">
        <is>
          <t>5 named / 11</t>
        </is>
      </c>
      <c r="O290" t="n">
        <v>589</v>
      </c>
      <c r="P290">
        <f>MAX(O290,Settings!$B$13)*Settings!$B$7</f>
        <v/>
      </c>
      <c r="Q290">
        <f>MAX(O290,Settings!$B$13)*Settings!$B$8</f>
        <v/>
      </c>
      <c r="R290" s="4">
        <f>MAX(P290*Settings!$B$5,IF(ISNUMBER(Settings!$B$12),Settings!$B$12,0))*(1+IF(Settings!$B$11="Y",0,Settings!$B$10/100))+N(Settings!$B$9)</f>
        <v/>
      </c>
      <c r="S290" s="4">
        <f>IF(Q290&gt;1000,"beyond table",IFERROR(LOOKUP(Q290,'FOIS 145A'!$A$2:$A$22,'FOIS 145A'!$C$2:$C$22),""))</f>
        <v/>
      </c>
      <c r="T290" s="4">
        <f>IF(ISNUMBER(S290),S290*(1+IF(Settings!$B$11="Y",0,Settings!$B$10/100))+2*N(Settings!$B$9),"")</f>
        <v/>
      </c>
      <c r="U290">
        <f>IF(ISNUMBER(T290),IF(T290&lt;R290,"Rail","Road"),"")</f>
        <v/>
      </c>
      <c r="V290" s="4">
        <f>IF(ISNUMBER(T290),ABS(R290-T290),"")</f>
        <v/>
      </c>
      <c r="W290">
        <f>IF(OR(ISNUMBER(SEARCH("siding",D290)),ISNUMBER(SEARCH("rcr",D290)),ISNUMBER(SEARCH("rail",D290)),ISNUMBER(SEARCH("wagon",D290))),"Yes - siding/rail in title","Check")</f>
        <v/>
      </c>
      <c r="X290">
        <f>Settings!$B$6</f>
        <v/>
      </c>
    </row>
    <row r="291">
      <c r="A291" t="inlineStr">
        <is>
          <t>D &gt;500 km</t>
        </is>
      </c>
      <c r="B291" t="inlineStr">
        <is>
          <t>18159447</t>
        </is>
      </c>
      <c r="C291" t="inlineStr">
        <is>
          <t>GEM/2026/B/7516431</t>
        </is>
      </c>
      <c r="D291" t="inlineStr">
        <is>
          <t>handling and transport on lumpsum basis - manual unloading of coal from rakes, loading and transportation of coal by hyvas at gtpp and other</t>
        </is>
      </c>
      <c r="E291" t="inlineStr">
        <is>
          <t>Coal transport (RCR / siding)</t>
        </is>
      </c>
      <c r="F291" t="inlineStr">
        <is>
          <t>Neyveli Uttar Pradesh Power Limited</t>
        </is>
      </c>
      <c r="G291" t="inlineStr">
        <is>
          <t>Uttar Pradesh</t>
        </is>
      </c>
      <c r="H291" t="inlineStr">
        <is>
          <t>Kanpur</t>
        </is>
      </c>
      <c r="I291" t="inlineStr">
        <is>
          <t>2026-06-12</t>
        </is>
      </c>
      <c r="J291" t="inlineStr">
        <is>
          <t>AOC</t>
        </is>
      </c>
      <c r="K291" t="inlineStr">
        <is>
          <t>Anusandhan Commotrade Private Limited</t>
        </is>
      </c>
      <c r="L291" t="inlineStr">
        <is>
          <t>Shah Coal</t>
        </is>
      </c>
      <c r="M291" t="inlineStr">
        <is>
          <t>5 named / 6</t>
        </is>
      </c>
      <c r="N291" t="n">
        <v>15.61</v>
      </c>
      <c r="O291" t="n">
        <v>594</v>
      </c>
      <c r="P291">
        <f>MAX(O291,Settings!$B$13)*Settings!$B$7</f>
        <v/>
      </c>
      <c r="Q291">
        <f>MAX(O291,Settings!$B$13)*Settings!$B$8</f>
        <v/>
      </c>
      <c r="R291" s="4">
        <f>MAX(P291*Settings!$B$5,IF(ISNUMBER(Settings!$B$12),Settings!$B$12,0))*(1+IF(Settings!$B$11="Y",0,Settings!$B$10/100))+N(Settings!$B$9)</f>
        <v/>
      </c>
      <c r="S291" s="4">
        <f>IF(Q291&gt;1000,"beyond table",IFERROR(LOOKUP(Q291,'FOIS 145A'!$A$2:$A$22,'FOIS 145A'!$C$2:$C$22),""))</f>
        <v/>
      </c>
      <c r="T291" s="4">
        <f>IF(ISNUMBER(S291),S291*(1+IF(Settings!$B$11="Y",0,Settings!$B$10/100))+2*N(Settings!$B$9),"")</f>
        <v/>
      </c>
      <c r="U291">
        <f>IF(ISNUMBER(T291),IF(T291&lt;R291,"Rail","Road"),"")</f>
        <v/>
      </c>
      <c r="V291" s="4">
        <f>IF(ISNUMBER(T291),ABS(R291-T291),"")</f>
        <v/>
      </c>
      <c r="W291">
        <f>IF(OR(ISNUMBER(SEARCH("siding",D291)),ISNUMBER(SEARCH("rcr",D291)),ISNUMBER(SEARCH("rail",D291)),ISNUMBER(SEARCH("wagon",D291))),"Yes - siding/rail in title","Check")</f>
        <v/>
      </c>
      <c r="X291">
        <f>Settings!$B$6</f>
        <v/>
      </c>
    </row>
    <row r="292">
      <c r="A292" t="inlineStr">
        <is>
          <t>D &gt;500 km</t>
        </is>
      </c>
      <c r="B292" t="inlineStr">
        <is>
          <t>14833285</t>
        </is>
      </c>
      <c r="C292" t="inlineStr">
        <is>
          <t>T-035-2024-25</t>
        </is>
      </c>
      <c r="D292" t="inlineStr">
        <is>
          <t>loading of coal from jayant mine of ncl, transportation of coal from jayant mine to nearest rrailway goods siding, unloading of coal and loa</t>
        </is>
      </c>
      <c r="E292" t="inlineStr">
        <is>
          <t>Coal transport (RCR / siding)</t>
        </is>
      </c>
      <c r="F292" t="inlineStr">
        <is>
          <t>Neyveli Uttar Pradesh Power Limited</t>
        </is>
      </c>
      <c r="G292" t="inlineStr">
        <is>
          <t>Uttar Pradesh</t>
        </is>
      </c>
      <c r="H292" t="inlineStr">
        <is>
          <t>Kanpur</t>
        </is>
      </c>
      <c r="I292" t="inlineStr">
        <is>
          <t>2025-02-12</t>
        </is>
      </c>
      <c r="J292" t="inlineStr">
        <is>
          <t>AOC</t>
        </is>
      </c>
      <c r="K292" t="inlineStr">
        <is>
          <t>Jai Ambey Roadlines Private Limited</t>
        </is>
      </c>
      <c r="L292" t="inlineStr"/>
      <c r="M292" t="inlineStr">
        <is>
          <t>1 named / 1</t>
        </is>
      </c>
      <c r="N292" t="n">
        <v>4.15</v>
      </c>
      <c r="O292" t="n">
        <v>594</v>
      </c>
      <c r="P292">
        <f>MAX(O292,Settings!$B$13)*Settings!$B$7</f>
        <v/>
      </c>
      <c r="Q292">
        <f>MAX(O292,Settings!$B$13)*Settings!$B$8</f>
        <v/>
      </c>
      <c r="R292" s="4">
        <f>MAX(P292*Settings!$B$5,IF(ISNUMBER(Settings!$B$12),Settings!$B$12,0))*(1+IF(Settings!$B$11="Y",0,Settings!$B$10/100))+N(Settings!$B$9)</f>
        <v/>
      </c>
      <c r="S292" s="4">
        <f>IF(Q292&gt;1000,"beyond table",IFERROR(LOOKUP(Q292,'FOIS 145A'!$A$2:$A$22,'FOIS 145A'!$C$2:$C$22),""))</f>
        <v/>
      </c>
      <c r="T292" s="4">
        <f>IF(ISNUMBER(S292),S292*(1+IF(Settings!$B$11="Y",0,Settings!$B$10/100))+2*N(Settings!$B$9),"")</f>
        <v/>
      </c>
      <c r="U292">
        <f>IF(ISNUMBER(T292),IF(T292&lt;R292,"Rail","Road"),"")</f>
        <v/>
      </c>
      <c r="V292" s="4">
        <f>IF(ISNUMBER(T292),ABS(R292-T292),"")</f>
        <v/>
      </c>
      <c r="W292">
        <f>IF(OR(ISNUMBER(SEARCH("siding",D292)),ISNUMBER(SEARCH("rcr",D292)),ISNUMBER(SEARCH("rail",D292)),ISNUMBER(SEARCH("wagon",D292))),"Yes - siding/rail in title","Check")</f>
        <v/>
      </c>
      <c r="X292">
        <f>Settings!$B$6</f>
        <v/>
      </c>
    </row>
    <row r="293">
      <c r="A293" t="inlineStr">
        <is>
          <t>D &gt;500 km</t>
        </is>
      </c>
      <c r="B293" t="inlineStr">
        <is>
          <t>17418635</t>
        </is>
      </c>
      <c r="C293" t="inlineStr">
        <is>
          <t>GEM/2026/B/7496853</t>
        </is>
      </c>
      <c r="D293" t="inlineStr">
        <is>
          <t xml:space="preserve">handling and transport on lumpsum basis - liaisoning contract for the movement of one and half million ton bridge linkage coal in rail mode </t>
        </is>
      </c>
      <c r="E293" t="inlineStr">
        <is>
          <t>Coal transport (road)</t>
        </is>
      </c>
      <c r="F293" t="inlineStr">
        <is>
          <t>Neyveli Uttar Pradesh Power Limited</t>
        </is>
      </c>
      <c r="G293" t="inlineStr">
        <is>
          <t>Uttar Pradesh</t>
        </is>
      </c>
      <c r="H293" t="inlineStr">
        <is>
          <t>Kanpur</t>
        </is>
      </c>
      <c r="I293" t="inlineStr">
        <is>
          <t>2026-05-25</t>
        </is>
      </c>
      <c r="J293" t="inlineStr">
        <is>
          <t>AOC</t>
        </is>
      </c>
      <c r="K293" t="inlineStr">
        <is>
          <t>Jainandani Commodities Private Limited</t>
        </is>
      </c>
      <c r="L293" t="inlineStr">
        <is>
          <t>Godavari Commodities</t>
        </is>
      </c>
      <c r="M293" t="inlineStr">
        <is>
          <t>5 named / 7</t>
        </is>
      </c>
      <c r="N293" t="n">
        <v>7.79</v>
      </c>
      <c r="O293" t="n">
        <v>594</v>
      </c>
      <c r="P293">
        <f>MAX(O293,Settings!$B$13)*Settings!$B$7</f>
        <v/>
      </c>
      <c r="Q293">
        <f>MAX(O293,Settings!$B$13)*Settings!$B$8</f>
        <v/>
      </c>
      <c r="R293" s="4">
        <f>MAX(P293*Settings!$B$5,IF(ISNUMBER(Settings!$B$12),Settings!$B$12,0))*(1+IF(Settings!$B$11="Y",0,Settings!$B$10/100))+N(Settings!$B$9)</f>
        <v/>
      </c>
      <c r="S293" s="4">
        <f>IF(Q293&gt;1000,"beyond table",IFERROR(LOOKUP(Q293,'FOIS 145A'!$A$2:$A$22,'FOIS 145A'!$C$2:$C$22),""))</f>
        <v/>
      </c>
      <c r="T293" s="4">
        <f>IF(ISNUMBER(S293),S293*(1+IF(Settings!$B$11="Y",0,Settings!$B$10/100))+2*N(Settings!$B$9),"")</f>
        <v/>
      </c>
      <c r="U293">
        <f>IF(ISNUMBER(T293),IF(T293&lt;R293,"Rail","Road"),"")</f>
        <v/>
      </c>
      <c r="V293" s="4">
        <f>IF(ISNUMBER(T293),ABS(R293-T293),"")</f>
        <v/>
      </c>
      <c r="W293">
        <f>IF(OR(ISNUMBER(SEARCH("siding",D293)),ISNUMBER(SEARCH("rcr",D293)),ISNUMBER(SEARCH("rail",D293)),ISNUMBER(SEARCH("wagon",D293))),"Yes - siding/rail in title","Check")</f>
        <v/>
      </c>
      <c r="X293">
        <f>Settings!$B$6</f>
        <v/>
      </c>
    </row>
    <row r="294">
      <c r="A294" t="inlineStr">
        <is>
          <t>D &gt;500 km</t>
        </is>
      </c>
      <c r="B294" t="inlineStr">
        <is>
          <t>17115658</t>
        </is>
      </c>
      <c r="C294" t="inlineStr">
        <is>
          <t>GEM/2026/B/7431653</t>
        </is>
      </c>
      <c r="D294" t="inlineStr">
        <is>
          <t>supply of - procurement of indigenous coal -  | quantity - 5000</t>
        </is>
      </c>
      <c r="E294" t="inlineStr">
        <is>
          <t>Coal supply</t>
        </is>
      </c>
      <c r="F294" t="inlineStr">
        <is>
          <t>Nepa Mills Limited</t>
        </is>
      </c>
      <c r="G294" t="inlineStr">
        <is>
          <t>Madhya Pradesh</t>
        </is>
      </c>
      <c r="H294" t="inlineStr">
        <is>
          <t>Burhanpur</t>
        </is>
      </c>
      <c r="I294" t="inlineStr">
        <is>
          <t>2026-04-24</t>
        </is>
      </c>
      <c r="J294" t="inlineStr">
        <is>
          <t>Financial</t>
        </is>
      </c>
      <c r="K294" t="inlineStr">
        <is>
          <t>-</t>
        </is>
      </c>
      <c r="L294" t="inlineStr">
        <is>
          <t>Tirupati Minerals</t>
        </is>
      </c>
      <c r="M294" t="inlineStr">
        <is>
          <t>3 named / 3</t>
        </is>
      </c>
      <c r="O294" t="n">
        <v>744</v>
      </c>
      <c r="P294">
        <f>MAX(O294,Settings!$B$13)*Settings!$B$7</f>
        <v/>
      </c>
      <c r="Q294">
        <f>MAX(O294,Settings!$B$13)*Settings!$B$8</f>
        <v/>
      </c>
      <c r="R294" s="4">
        <f>MAX(P294*Settings!$B$5,IF(ISNUMBER(Settings!$B$12),Settings!$B$12,0))*(1+IF(Settings!$B$11="Y",0,Settings!$B$10/100))+N(Settings!$B$9)</f>
        <v/>
      </c>
      <c r="S294" s="4">
        <f>IF(Q294&gt;1000,"beyond table",IFERROR(LOOKUP(Q294,'FOIS 145A'!$A$2:$A$22,'FOIS 145A'!$C$2:$C$22),""))</f>
        <v/>
      </c>
      <c r="T294" s="4">
        <f>IF(ISNUMBER(S294),S294*(1+IF(Settings!$B$11="Y",0,Settings!$B$10/100))+2*N(Settings!$B$9),"")</f>
        <v/>
      </c>
      <c r="U294">
        <f>IF(ISNUMBER(T294),IF(T294&lt;R294,"Rail","Road"),"")</f>
        <v/>
      </c>
      <c r="V294" s="4">
        <f>IF(ISNUMBER(T294),ABS(R294-T294),"")</f>
        <v/>
      </c>
      <c r="W294">
        <f>IF(OR(ISNUMBER(SEARCH("siding",D294)),ISNUMBER(SEARCH("rcr",D294)),ISNUMBER(SEARCH("rail",D294)),ISNUMBER(SEARCH("wagon",D294))),"Yes - siding/rail in title","Check")</f>
        <v/>
      </c>
      <c r="X294">
        <f>Settings!$B$6</f>
        <v/>
      </c>
    </row>
    <row r="295">
      <c r="A295" t="inlineStr">
        <is>
          <t>D &gt;500 km</t>
        </is>
      </c>
      <c r="B295" t="inlineStr">
        <is>
          <t>17926073</t>
        </is>
      </c>
      <c r="C295" t="inlineStr">
        <is>
          <t>GEM/2026/B/7804529</t>
        </is>
      </c>
      <c r="D295" t="inlineStr">
        <is>
          <t>coal liasioning 4 lakh mt coal , custom bid for services - coal sampling for 200 samples</t>
        </is>
      </c>
      <c r="E295" t="inlineStr">
        <is>
          <t>Other</t>
        </is>
      </c>
      <c r="F295" t="inlineStr">
        <is>
          <t>Uttar Pradesh Rajya Vidyut Utpadan Nigam Limited</t>
        </is>
      </c>
      <c r="G295" t="inlineStr">
        <is>
          <t>Uttar Pradesh</t>
        </is>
      </c>
      <c r="H295" t="inlineStr">
        <is>
          <t>Etah</t>
        </is>
      </c>
      <c r="I295" t="inlineStr">
        <is>
          <t>2026-07-31</t>
        </is>
      </c>
      <c r="J295" t="inlineStr">
        <is>
          <t>Financial</t>
        </is>
      </c>
      <c r="K295" t="inlineStr">
        <is>
          <t>-</t>
        </is>
      </c>
      <c r="L295" t="inlineStr">
        <is>
          <t>Sangita Sales, Shah Coal</t>
        </is>
      </c>
      <c r="M295" t="inlineStr">
        <is>
          <t>5 named / 6</t>
        </is>
      </c>
      <c r="O295" t="n">
        <v>791</v>
      </c>
      <c r="P295">
        <f>MAX(O295,Settings!$B$13)*Settings!$B$7</f>
        <v/>
      </c>
      <c r="Q295">
        <f>MAX(O295,Settings!$B$13)*Settings!$B$8</f>
        <v/>
      </c>
      <c r="R295" s="4">
        <f>MAX(P295*Settings!$B$5,IF(ISNUMBER(Settings!$B$12),Settings!$B$12,0))*(1+IF(Settings!$B$11="Y",0,Settings!$B$10/100))+N(Settings!$B$9)</f>
        <v/>
      </c>
      <c r="S295" s="4">
        <f>IF(Q295&gt;1000,"beyond table",IFERROR(LOOKUP(Q295,'FOIS 145A'!$A$2:$A$22,'FOIS 145A'!$C$2:$C$22),""))</f>
        <v/>
      </c>
      <c r="T295" s="4">
        <f>IF(ISNUMBER(S295),S295*(1+IF(Settings!$B$11="Y",0,Settings!$B$10/100))+2*N(Settings!$B$9),"")</f>
        <v/>
      </c>
      <c r="U295">
        <f>IF(ISNUMBER(T295),IF(T295&lt;R295,"Rail","Road"),"")</f>
        <v/>
      </c>
      <c r="V295" s="4">
        <f>IF(ISNUMBER(T295),ABS(R295-T295),"")</f>
        <v/>
      </c>
      <c r="W295">
        <f>IF(OR(ISNUMBER(SEARCH("siding",D295)),ISNUMBER(SEARCH("rcr",D295)),ISNUMBER(SEARCH("rail",D295)),ISNUMBER(SEARCH("wagon",D295))),"Yes - siding/rail in title","Check")</f>
        <v/>
      </c>
      <c r="X295">
        <f>Settings!$B$6</f>
        <v/>
      </c>
    </row>
    <row r="296">
      <c r="A296" t="inlineStr">
        <is>
          <t>D &gt;500 km</t>
        </is>
      </c>
      <c r="B296" t="inlineStr">
        <is>
          <t>17963328</t>
        </is>
      </c>
      <c r="C296" t="inlineStr">
        <is>
          <t>GEM/2026/B/7623455</t>
        </is>
      </c>
      <c r="D296" t="inlineStr">
        <is>
          <t>supply of - domestic coal for ntpc (q3) -  | quantity - 500000</t>
        </is>
      </c>
      <c r="E296" t="inlineStr">
        <is>
          <t>Coal supply</t>
        </is>
      </c>
      <c r="F296" t="inlineStr">
        <is>
          <t>National Thermal Power Corporation Limited</t>
        </is>
      </c>
      <c r="G296" t="inlineStr">
        <is>
          <t>Madhya Pradesh</t>
        </is>
      </c>
      <c r="H296" t="inlineStr">
        <is>
          <t>Khargone</t>
        </is>
      </c>
      <c r="I296" t="inlineStr">
        <is>
          <t>2026-07-06</t>
        </is>
      </c>
      <c r="J296" t="inlineStr">
        <is>
          <t>AOC</t>
        </is>
      </c>
      <c r="K296" t="inlineStr">
        <is>
          <t>Indermani Mineral India Private Limited, Mahavir Coal Resources Private Limited</t>
        </is>
      </c>
      <c r="L296" t="inlineStr">
        <is>
          <t>Godavari Commodities, Indermani / Indramani, Mohit Minerals</t>
        </is>
      </c>
      <c r="M296" t="inlineStr">
        <is>
          <t>5 named / 10</t>
        </is>
      </c>
      <c r="N296" t="n">
        <v>277.64</v>
      </c>
      <c r="O296" t="n">
        <v>804</v>
      </c>
      <c r="P296">
        <f>MAX(O296,Settings!$B$13)*Settings!$B$7</f>
        <v/>
      </c>
      <c r="Q296">
        <f>MAX(O296,Settings!$B$13)*Settings!$B$8</f>
        <v/>
      </c>
      <c r="R296" s="4">
        <f>MAX(P296*Settings!$B$5,IF(ISNUMBER(Settings!$B$12),Settings!$B$12,0))*(1+IF(Settings!$B$11="Y",0,Settings!$B$10/100))+N(Settings!$B$9)</f>
        <v/>
      </c>
      <c r="S296" s="4">
        <f>IF(Q296&gt;1000,"beyond table",IFERROR(LOOKUP(Q296,'FOIS 145A'!$A$2:$A$22,'FOIS 145A'!$C$2:$C$22),""))</f>
        <v/>
      </c>
      <c r="T296" s="4">
        <f>IF(ISNUMBER(S296),S296*(1+IF(Settings!$B$11="Y",0,Settings!$B$10/100))+2*N(Settings!$B$9),"")</f>
        <v/>
      </c>
      <c r="U296">
        <f>IF(ISNUMBER(T296),IF(T296&lt;R296,"Rail","Road"),"")</f>
        <v/>
      </c>
      <c r="V296" s="4">
        <f>IF(ISNUMBER(T296),ABS(R296-T296),"")</f>
        <v/>
      </c>
      <c r="W296">
        <f>IF(OR(ISNUMBER(SEARCH("siding",D296)),ISNUMBER(SEARCH("rcr",D296)),ISNUMBER(SEARCH("rail",D296)),ISNUMBER(SEARCH("wagon",D296))),"Yes - siding/rail in title","Check")</f>
        <v/>
      </c>
      <c r="X296">
        <f>Settings!$B$6</f>
        <v/>
      </c>
    </row>
    <row r="297">
      <c r="A297" t="inlineStr">
        <is>
          <t>D &gt;500 km</t>
        </is>
      </c>
      <c r="B297" t="inlineStr">
        <is>
          <t>13720759</t>
        </is>
      </c>
      <c r="C297" t="inlineStr">
        <is>
          <t>GEM/2025/B/6142396</t>
        </is>
      </c>
      <c r="D297" t="inlineStr">
        <is>
          <t>domestic coal for ntpc</t>
        </is>
      </c>
      <c r="E297" t="inlineStr">
        <is>
          <t>Coal supply</t>
        </is>
      </c>
      <c r="F297" t="inlineStr">
        <is>
          <t>National Thermal Power Corporation Limited</t>
        </is>
      </c>
      <c r="G297" t="inlineStr">
        <is>
          <t>Madhya Pradesh</t>
        </is>
      </c>
      <c r="H297" t="inlineStr">
        <is>
          <t>Khargone</t>
        </is>
      </c>
      <c r="I297" t="inlineStr">
        <is>
          <t>2025-05-28</t>
        </is>
      </c>
      <c r="J297" t="inlineStr">
        <is>
          <t>Financial</t>
        </is>
      </c>
      <c r="K297" t="inlineStr">
        <is>
          <t>-</t>
        </is>
      </c>
      <c r="L297" t="inlineStr">
        <is>
          <t>Godavari Commodities</t>
        </is>
      </c>
      <c r="M297" t="inlineStr">
        <is>
          <t>5 named / 15</t>
        </is>
      </c>
      <c r="O297" t="n">
        <v>804</v>
      </c>
      <c r="P297">
        <f>MAX(O297,Settings!$B$13)*Settings!$B$7</f>
        <v/>
      </c>
      <c r="Q297">
        <f>MAX(O297,Settings!$B$13)*Settings!$B$8</f>
        <v/>
      </c>
      <c r="R297" s="4">
        <f>MAX(P297*Settings!$B$5,IF(ISNUMBER(Settings!$B$12),Settings!$B$12,0))*(1+IF(Settings!$B$11="Y",0,Settings!$B$10/100))+N(Settings!$B$9)</f>
        <v/>
      </c>
      <c r="S297" s="4">
        <f>IF(Q297&gt;1000,"beyond table",IFERROR(LOOKUP(Q297,'FOIS 145A'!$A$2:$A$22,'FOIS 145A'!$C$2:$C$22),""))</f>
        <v/>
      </c>
      <c r="T297" s="4">
        <f>IF(ISNUMBER(S297),S297*(1+IF(Settings!$B$11="Y",0,Settings!$B$10/100))+2*N(Settings!$B$9),"")</f>
        <v/>
      </c>
      <c r="U297">
        <f>IF(ISNUMBER(T297),IF(T297&lt;R297,"Rail","Road"),"")</f>
        <v/>
      </c>
      <c r="V297" s="4">
        <f>IF(ISNUMBER(T297),ABS(R297-T297),"")</f>
        <v/>
      </c>
      <c r="W297">
        <f>IF(OR(ISNUMBER(SEARCH("siding",D297)),ISNUMBER(SEARCH("rcr",D297)),ISNUMBER(SEARCH("rail",D297)),ISNUMBER(SEARCH("wagon",D297))),"Yes - siding/rail in title","Check")</f>
        <v/>
      </c>
      <c r="X297">
        <f>Settings!$B$6</f>
        <v/>
      </c>
    </row>
    <row r="298">
      <c r="A298" t="inlineStr">
        <is>
          <t>D &gt;500 km</t>
        </is>
      </c>
      <c r="B298" t="inlineStr">
        <is>
          <t>12438565</t>
        </is>
      </c>
      <c r="C298" t="inlineStr">
        <is>
          <t>GEM/2024/B/5652546</t>
        </is>
      </c>
      <c r="D298" t="inlineStr">
        <is>
          <t>domestic coal for ntpc</t>
        </is>
      </c>
      <c r="E298" t="inlineStr">
        <is>
          <t>Coal supply</t>
        </is>
      </c>
      <c r="F298" t="inlineStr">
        <is>
          <t>National Thermal Power Corporation Limited</t>
        </is>
      </c>
      <c r="G298" t="inlineStr">
        <is>
          <t>Uttar Pradesh</t>
        </is>
      </c>
      <c r="H298" t="inlineStr">
        <is>
          <t>Bareilly</t>
        </is>
      </c>
      <c r="I298" t="inlineStr">
        <is>
          <t>2025-01-21</t>
        </is>
      </c>
      <c r="J298" t="inlineStr">
        <is>
          <t>AOC</t>
        </is>
      </c>
      <c r="K298" t="inlineStr">
        <is>
          <t>Indermani Mineral India Private Limited</t>
        </is>
      </c>
      <c r="L298" t="inlineStr">
        <is>
          <t>Godavari Commodities, Indermani / Indramani, Mohit Minerals, Sangita Sales</t>
        </is>
      </c>
      <c r="M298" t="inlineStr">
        <is>
          <t>5 named / 8</t>
        </is>
      </c>
      <c r="N298" t="n">
        <v>235</v>
      </c>
      <c r="O298" t="n">
        <v>823</v>
      </c>
      <c r="P298">
        <f>MAX(O298,Settings!$B$13)*Settings!$B$7</f>
        <v/>
      </c>
      <c r="Q298">
        <f>MAX(O298,Settings!$B$13)*Settings!$B$8</f>
        <v/>
      </c>
      <c r="R298" s="4">
        <f>MAX(P298*Settings!$B$5,IF(ISNUMBER(Settings!$B$12),Settings!$B$12,0))*(1+IF(Settings!$B$11="Y",0,Settings!$B$10/100))+N(Settings!$B$9)</f>
        <v/>
      </c>
      <c r="S298" s="4">
        <f>IF(Q298&gt;1000,"beyond table",IFERROR(LOOKUP(Q298,'FOIS 145A'!$A$2:$A$22,'FOIS 145A'!$C$2:$C$22),""))</f>
        <v/>
      </c>
      <c r="T298" s="4">
        <f>IF(ISNUMBER(S298),S298*(1+IF(Settings!$B$11="Y",0,Settings!$B$10/100))+2*N(Settings!$B$9),"")</f>
        <v/>
      </c>
      <c r="U298">
        <f>IF(ISNUMBER(T298),IF(T298&lt;R298,"Rail","Road"),"")</f>
        <v/>
      </c>
      <c r="V298" s="4">
        <f>IF(ISNUMBER(T298),ABS(R298-T298),"")</f>
        <v/>
      </c>
      <c r="W298">
        <f>IF(OR(ISNUMBER(SEARCH("siding",D298)),ISNUMBER(SEARCH("rcr",D298)),ISNUMBER(SEARCH("rail",D298)),ISNUMBER(SEARCH("wagon",D298))),"Yes - siding/rail in title","Check")</f>
        <v/>
      </c>
      <c r="X298">
        <f>Settings!$B$6</f>
        <v/>
      </c>
    </row>
    <row r="299">
      <c r="A299" t="inlineStr">
        <is>
          <t>D &gt;500 km</t>
        </is>
      </c>
      <c r="B299" t="inlineStr">
        <is>
          <t>18059089</t>
        </is>
      </c>
      <c r="C299" t="inlineStr">
        <is>
          <t>GEM/2026/B/7627356</t>
        </is>
      </c>
      <c r="D299" t="inlineStr">
        <is>
          <t>supply of - domestic coal for ntpc (q3) -  | quantity - 500000</t>
        </is>
      </c>
      <c r="E299" t="inlineStr">
        <is>
          <t>Coal supply</t>
        </is>
      </c>
      <c r="F299" t="inlineStr">
        <is>
          <t>National Thermal Power Corporation Limited</t>
        </is>
      </c>
      <c r="G299" t="inlineStr">
        <is>
          <t>Maharashtra</t>
        </is>
      </c>
      <c r="H299" t="inlineStr">
        <is>
          <t>Solapur</t>
        </is>
      </c>
      <c r="I299" t="inlineStr">
        <is>
          <t>2026-07-06</t>
        </is>
      </c>
      <c r="J299" t="inlineStr">
        <is>
          <t>Financial</t>
        </is>
      </c>
      <c r="K299" t="inlineStr">
        <is>
          <t>-</t>
        </is>
      </c>
      <c r="L299" t="inlineStr">
        <is>
          <t>Godavari Commodities, Indermani / Indramani</t>
        </is>
      </c>
      <c r="M299" t="inlineStr">
        <is>
          <t>5 named / 12</t>
        </is>
      </c>
      <c r="O299" t="n">
        <v>914</v>
      </c>
      <c r="P299">
        <f>MAX(O299,Settings!$B$13)*Settings!$B$7</f>
        <v/>
      </c>
      <c r="Q299">
        <f>MAX(O299,Settings!$B$13)*Settings!$B$8</f>
        <v/>
      </c>
      <c r="R299" s="4">
        <f>MAX(P299*Settings!$B$5,IF(ISNUMBER(Settings!$B$12),Settings!$B$12,0))*(1+IF(Settings!$B$11="Y",0,Settings!$B$10/100))+N(Settings!$B$9)</f>
        <v/>
      </c>
      <c r="S299" s="4">
        <f>IF(Q299&gt;1000,"beyond table",IFERROR(LOOKUP(Q299,'FOIS 145A'!$A$2:$A$22,'FOIS 145A'!$C$2:$C$22),""))</f>
        <v/>
      </c>
      <c r="T299" s="4">
        <f>IF(ISNUMBER(S299),S299*(1+IF(Settings!$B$11="Y",0,Settings!$B$10/100))+2*N(Settings!$B$9),"")</f>
        <v/>
      </c>
      <c r="U299">
        <f>IF(ISNUMBER(T299),IF(T299&lt;R299,"Rail","Road"),"")</f>
        <v/>
      </c>
      <c r="V299" s="4">
        <f>IF(ISNUMBER(T299),ABS(R299-T299),"")</f>
        <v/>
      </c>
      <c r="W299">
        <f>IF(OR(ISNUMBER(SEARCH("siding",D299)),ISNUMBER(SEARCH("rcr",D299)),ISNUMBER(SEARCH("rail",D299)),ISNUMBER(SEARCH("wagon",D299))),"Yes - siding/rail in title","Check")</f>
        <v/>
      </c>
      <c r="X299">
        <f>Settings!$B$6</f>
        <v/>
      </c>
    </row>
    <row r="300">
      <c r="A300" t="inlineStr">
        <is>
          <t>D &gt;500 km</t>
        </is>
      </c>
      <c r="B300" t="inlineStr">
        <is>
          <t>16555314</t>
        </is>
      </c>
      <c r="C300" t="inlineStr">
        <is>
          <t>GEM/2025/B/6761458</t>
        </is>
      </c>
      <c r="D300" t="inlineStr">
        <is>
          <t>deployment of excavator, backhoe loader, tipper truck &amp; work force for wagon tippler hopper grill cleaning and biomass pellet unloading at n</t>
        </is>
      </c>
      <c r="E300" t="inlineStr">
        <is>
          <t>Other (biomass / coke)</t>
        </is>
      </c>
      <c r="F300" t="inlineStr">
        <is>
          <t>National Thermal Power Corporation Limited</t>
        </is>
      </c>
      <c r="G300" t="inlineStr">
        <is>
          <t>Maharashtra</t>
        </is>
      </c>
      <c r="H300" t="inlineStr">
        <is>
          <t>Solapur</t>
        </is>
      </c>
      <c r="I300" t="inlineStr">
        <is>
          <t>2025-11-25</t>
        </is>
      </c>
      <c r="J300" t="inlineStr">
        <is>
          <t>AOC</t>
        </is>
      </c>
      <c r="K300" t="inlineStr">
        <is>
          <t>B Y Enterprises</t>
        </is>
      </c>
      <c r="L300" t="inlineStr"/>
      <c r="M300" t="inlineStr">
        <is>
          <t>5 named / 10</t>
        </is>
      </c>
      <c r="N300" t="n">
        <v>6.77</v>
      </c>
      <c r="O300" t="n">
        <v>914</v>
      </c>
      <c r="P300">
        <f>MAX(O300,Settings!$B$13)*Settings!$B$7</f>
        <v/>
      </c>
      <c r="Q300">
        <f>MAX(O300,Settings!$B$13)*Settings!$B$8</f>
        <v/>
      </c>
      <c r="R300" s="4">
        <f>MAX(P300*Settings!$B$5,IF(ISNUMBER(Settings!$B$12),Settings!$B$12,0))*(1+IF(Settings!$B$11="Y",0,Settings!$B$10/100))+N(Settings!$B$9)</f>
        <v/>
      </c>
      <c r="S300" s="4">
        <f>IF(Q300&gt;1000,"beyond table",IFERROR(LOOKUP(Q300,'FOIS 145A'!$A$2:$A$22,'FOIS 145A'!$C$2:$C$22),""))</f>
        <v/>
      </c>
      <c r="T300" s="4">
        <f>IF(ISNUMBER(S300),S300*(1+IF(Settings!$B$11="Y",0,Settings!$B$10/100))+2*N(Settings!$B$9),"")</f>
        <v/>
      </c>
      <c r="U300">
        <f>IF(ISNUMBER(T300),IF(T300&lt;R300,"Rail","Road"),"")</f>
        <v/>
      </c>
      <c r="V300" s="4">
        <f>IF(ISNUMBER(T300),ABS(R300-T300),"")</f>
        <v/>
      </c>
      <c r="W300">
        <f>IF(OR(ISNUMBER(SEARCH("siding",D300)),ISNUMBER(SEARCH("rcr",D300)),ISNUMBER(SEARCH("rail",D300)),ISNUMBER(SEARCH("wagon",D300))),"Yes - siding/rail in title","Check")</f>
        <v/>
      </c>
      <c r="X300">
        <f>Settings!$B$6</f>
        <v/>
      </c>
    </row>
    <row r="301">
      <c r="A301" t="inlineStr">
        <is>
          <t>D &gt;500 km</t>
        </is>
      </c>
      <c r="B301" t="inlineStr">
        <is>
          <t>18214123</t>
        </is>
      </c>
      <c r="C301" t="inlineStr">
        <is>
          <t>GEM/2026/B/7998022</t>
        </is>
      </c>
      <c r="D301" t="inlineStr">
        <is>
          <t>supply of - domestic coal for ntpc (q3) -  | quantity - 500000</t>
        </is>
      </c>
      <c r="E301" t="inlineStr">
        <is>
          <t>Coal supply</t>
        </is>
      </c>
      <c r="F301" t="inlineStr">
        <is>
          <t>National Thermal Power Corporation Limited</t>
        </is>
      </c>
      <c r="G301" t="inlineStr">
        <is>
          <t>Uttar Pradesh</t>
        </is>
      </c>
      <c r="H301" t="inlineStr">
        <is>
          <t>Gautam Budhnagar</t>
        </is>
      </c>
      <c r="I301" t="inlineStr">
        <is>
          <t>2026-09-09</t>
        </is>
      </c>
      <c r="J301" t="inlineStr">
        <is>
          <t>AOC</t>
        </is>
      </c>
      <c r="K301" t="inlineStr">
        <is>
          <t>Mohit Minerals Limited</t>
        </is>
      </c>
      <c r="L301" t="inlineStr">
        <is>
          <t>Godavari Commodities, Mohit Minerals, Sangita Sales</t>
        </is>
      </c>
      <c r="M301" t="inlineStr">
        <is>
          <t>5 named / 8</t>
        </is>
      </c>
      <c r="N301" t="n">
        <v>297.55</v>
      </c>
      <c r="O301" t="n">
        <v>939</v>
      </c>
      <c r="P301">
        <f>MAX(O301,Settings!$B$13)*Settings!$B$7</f>
        <v/>
      </c>
      <c r="Q301">
        <f>MAX(O301,Settings!$B$13)*Settings!$B$8</f>
        <v/>
      </c>
      <c r="R301" s="4">
        <f>MAX(P301*Settings!$B$5,IF(ISNUMBER(Settings!$B$12),Settings!$B$12,0))*(1+IF(Settings!$B$11="Y",0,Settings!$B$10/100))+N(Settings!$B$9)</f>
        <v/>
      </c>
      <c r="S301" s="4">
        <f>IF(Q301&gt;1000,"beyond table",IFERROR(LOOKUP(Q301,'FOIS 145A'!$A$2:$A$22,'FOIS 145A'!$C$2:$C$22),""))</f>
        <v/>
      </c>
      <c r="T301" s="4">
        <f>IF(ISNUMBER(S301),S301*(1+IF(Settings!$B$11="Y",0,Settings!$B$10/100))+2*N(Settings!$B$9),"")</f>
        <v/>
      </c>
      <c r="U301">
        <f>IF(ISNUMBER(T301),IF(T301&lt;R301,"Rail","Road"),"")</f>
        <v/>
      </c>
      <c r="V301" s="4">
        <f>IF(ISNUMBER(T301),ABS(R301-T301),"")</f>
        <v/>
      </c>
      <c r="W301">
        <f>IF(OR(ISNUMBER(SEARCH("siding",D301)),ISNUMBER(SEARCH("rcr",D301)),ISNUMBER(SEARCH("rail",D301)),ISNUMBER(SEARCH("wagon",D301))),"Yes - siding/rail in title","Check")</f>
        <v/>
      </c>
      <c r="X301">
        <f>Settings!$B$6</f>
        <v/>
      </c>
    </row>
    <row r="302">
      <c r="A302" t="inlineStr">
        <is>
          <t>D &gt;500 km</t>
        </is>
      </c>
      <c r="B302" t="inlineStr">
        <is>
          <t>12439021</t>
        </is>
      </c>
      <c r="C302" t="inlineStr">
        <is>
          <t>GEM/2024/B/5652033</t>
        </is>
      </c>
      <c r="D302" t="inlineStr">
        <is>
          <t>domestic coal for ntpc</t>
        </is>
      </c>
      <c r="E302" t="inlineStr">
        <is>
          <t>Coal supply</t>
        </is>
      </c>
      <c r="F302" t="inlineStr">
        <is>
          <t>National Thermal Power Corporation Limited</t>
        </is>
      </c>
      <c r="G302" t="inlineStr">
        <is>
          <t>Uttar Pradesh</t>
        </is>
      </c>
      <c r="H302" t="inlineStr">
        <is>
          <t>Gautam Budhnagar</t>
        </is>
      </c>
      <c r="I302" t="inlineStr">
        <is>
          <t>2025-01-21</t>
        </is>
      </c>
      <c r="J302" t="inlineStr">
        <is>
          <t>AOC</t>
        </is>
      </c>
      <c r="K302" t="inlineStr">
        <is>
          <t>Mohit Minerals Limited</t>
        </is>
      </c>
      <c r="L302" t="inlineStr">
        <is>
          <t>Godavari Commodities, Mohit Minerals, Sangita Sales, Sendoz Impex</t>
        </is>
      </c>
      <c r="M302" t="inlineStr">
        <is>
          <t>5 named / 7</t>
        </is>
      </c>
      <c r="N302" t="n">
        <v>291.05</v>
      </c>
      <c r="O302" t="n">
        <v>939</v>
      </c>
      <c r="P302">
        <f>MAX(O302,Settings!$B$13)*Settings!$B$7</f>
        <v/>
      </c>
      <c r="Q302">
        <f>MAX(O302,Settings!$B$13)*Settings!$B$8</f>
        <v/>
      </c>
      <c r="R302" s="4">
        <f>MAX(P302*Settings!$B$5,IF(ISNUMBER(Settings!$B$12),Settings!$B$12,0))*(1+IF(Settings!$B$11="Y",0,Settings!$B$10/100))+N(Settings!$B$9)</f>
        <v/>
      </c>
      <c r="S302" s="4">
        <f>IF(Q302&gt;1000,"beyond table",IFERROR(LOOKUP(Q302,'FOIS 145A'!$A$2:$A$22,'FOIS 145A'!$C$2:$C$22),""))</f>
        <v/>
      </c>
      <c r="T302" s="4">
        <f>IF(ISNUMBER(S302),S302*(1+IF(Settings!$B$11="Y",0,Settings!$B$10/100))+2*N(Settings!$B$9),"")</f>
        <v/>
      </c>
      <c r="U302">
        <f>IF(ISNUMBER(T302),IF(T302&lt;R302,"Rail","Road"),"")</f>
        <v/>
      </c>
      <c r="V302" s="4">
        <f>IF(ISNUMBER(T302),ABS(R302-T302),"")</f>
        <v/>
      </c>
      <c r="W302">
        <f>IF(OR(ISNUMBER(SEARCH("siding",D302)),ISNUMBER(SEARCH("rcr",D302)),ISNUMBER(SEARCH("rail",D302)),ISNUMBER(SEARCH("wagon",D302))),"Yes - siding/rail in title","Check")</f>
        <v/>
      </c>
      <c r="X302">
        <f>Settings!$B$6</f>
        <v/>
      </c>
    </row>
    <row r="303">
      <c r="A303" t="inlineStr">
        <is>
          <t>D &gt;500 km</t>
        </is>
      </c>
      <c r="B303" t="inlineStr">
        <is>
          <t>17988363</t>
        </is>
      </c>
      <c r="C303" t="inlineStr">
        <is>
          <t>GEM/2026/B/7629534</t>
        </is>
      </c>
      <c r="D303" t="inlineStr">
        <is>
          <t>supply of - domestic coal for ntpc (q3) -  | quantity - 500000</t>
        </is>
      </c>
      <c r="E303" t="inlineStr">
        <is>
          <t>Coal supply</t>
        </is>
      </c>
      <c r="F303" t="inlineStr">
        <is>
          <t>National Thermal Power Corporation Limited</t>
        </is>
      </c>
      <c r="G303" t="inlineStr">
        <is>
          <t>Karnataka</t>
        </is>
      </c>
      <c r="H303" t="inlineStr">
        <is>
          <t>Bijapur</t>
        </is>
      </c>
      <c r="I303" t="inlineStr">
        <is>
          <t>2026-07-06</t>
        </is>
      </c>
      <c r="J303" t="inlineStr">
        <is>
          <t>Financial</t>
        </is>
      </c>
      <c r="K303" t="inlineStr">
        <is>
          <t>-</t>
        </is>
      </c>
      <c r="L303" t="inlineStr">
        <is>
          <t>Godavari Commodities, Mohit Minerals</t>
        </is>
      </c>
      <c r="M303" t="inlineStr">
        <is>
          <t>5 named / 12</t>
        </is>
      </c>
      <c r="O303" t="n">
        <v>984</v>
      </c>
      <c r="P303">
        <f>MAX(O303,Settings!$B$13)*Settings!$B$7</f>
        <v/>
      </c>
      <c r="Q303">
        <f>MAX(O303,Settings!$B$13)*Settings!$B$8</f>
        <v/>
      </c>
      <c r="R303" s="4">
        <f>MAX(P303*Settings!$B$5,IF(ISNUMBER(Settings!$B$12),Settings!$B$12,0))*(1+IF(Settings!$B$11="Y",0,Settings!$B$10/100))+N(Settings!$B$9)</f>
        <v/>
      </c>
      <c r="S303" s="4">
        <f>IF(Q303&gt;1000,"beyond table",IFERROR(LOOKUP(Q303,'FOIS 145A'!$A$2:$A$22,'FOIS 145A'!$C$2:$C$22),""))</f>
        <v/>
      </c>
      <c r="T303" s="4">
        <f>IF(ISNUMBER(S303),S303*(1+IF(Settings!$B$11="Y",0,Settings!$B$10/100))+2*N(Settings!$B$9),"")</f>
        <v/>
      </c>
      <c r="U303">
        <f>IF(ISNUMBER(T303),IF(T303&lt;R303,"Rail","Road"),"")</f>
        <v/>
      </c>
      <c r="V303" s="4">
        <f>IF(ISNUMBER(T303),ABS(R303-T303),"")</f>
        <v/>
      </c>
      <c r="W303">
        <f>IF(OR(ISNUMBER(SEARCH("siding",D303)),ISNUMBER(SEARCH("rcr",D303)),ISNUMBER(SEARCH("rail",D303)),ISNUMBER(SEARCH("wagon",D303))),"Yes - siding/rail in title","Check")</f>
        <v/>
      </c>
      <c r="X303">
        <f>Settings!$B$6</f>
        <v/>
      </c>
    </row>
    <row r="304">
      <c r="A304" t="inlineStr">
        <is>
          <t>D &gt;500 km</t>
        </is>
      </c>
      <c r="B304" t="inlineStr">
        <is>
          <t>16196804</t>
        </is>
      </c>
      <c r="C304" t="inlineStr">
        <is>
          <t>GEM/2025/B/7012225</t>
        </is>
      </c>
      <c r="D304" t="inlineStr">
        <is>
          <t>handling and transport on lumpsum basis - handling service, transport service, handling &amp; transport service, coal handling agent</t>
        </is>
      </c>
      <c r="E304" t="inlineStr">
        <is>
          <t>Coal transport (road)</t>
        </is>
      </c>
      <c r="F304" t="inlineStr">
        <is>
          <t>National Fertilizers Limited</t>
        </is>
      </c>
      <c r="G304" t="inlineStr">
        <is>
          <t>Haryana</t>
        </is>
      </c>
      <c r="H304" t="inlineStr">
        <is>
          <t>Panipat</t>
        </is>
      </c>
      <c r="I304" t="inlineStr">
        <is>
          <t>2025-12-27</t>
        </is>
      </c>
      <c r="J304" t="inlineStr">
        <is>
          <t>AOC</t>
        </is>
      </c>
      <c r="K304" t="inlineStr">
        <is>
          <t>Om Sharda Logistics Private Limited</t>
        </is>
      </c>
      <c r="L304" t="inlineStr"/>
      <c r="M304" t="inlineStr">
        <is>
          <t>5 named / 8</t>
        </is>
      </c>
      <c r="N304" t="n">
        <v>0.99</v>
      </c>
      <c r="O304" t="n">
        <v>1053</v>
      </c>
      <c r="P304">
        <f>MAX(O304,Settings!$B$13)*Settings!$B$7</f>
        <v/>
      </c>
      <c r="Q304">
        <f>MAX(O304,Settings!$B$13)*Settings!$B$8</f>
        <v/>
      </c>
      <c r="R304" s="4">
        <f>MAX(P304*Settings!$B$5,IF(ISNUMBER(Settings!$B$12),Settings!$B$12,0))*(1+IF(Settings!$B$11="Y",0,Settings!$B$10/100))+N(Settings!$B$9)</f>
        <v/>
      </c>
      <c r="S304" s="4">
        <f>IF(Q304&gt;1000,"beyond table",IFERROR(LOOKUP(Q304,'FOIS 145A'!$A$2:$A$22,'FOIS 145A'!$C$2:$C$22),""))</f>
        <v/>
      </c>
      <c r="T304" s="4">
        <f>IF(ISNUMBER(S304),S304*(1+IF(Settings!$B$11="Y",0,Settings!$B$10/100))+2*N(Settings!$B$9),"")</f>
        <v/>
      </c>
      <c r="U304">
        <f>IF(ISNUMBER(T304),IF(T304&lt;R304,"Rail","Road"),"")</f>
        <v/>
      </c>
      <c r="V304" s="4">
        <f>IF(ISNUMBER(T304),ABS(R304-T304),"")</f>
        <v/>
      </c>
      <c r="W304">
        <f>IF(OR(ISNUMBER(SEARCH("siding",D304)),ISNUMBER(SEARCH("rcr",D304)),ISNUMBER(SEARCH("rail",D304)),ISNUMBER(SEARCH("wagon",D304))),"Yes - siding/rail in title","Check")</f>
        <v/>
      </c>
      <c r="X304">
        <f>Settings!$B$6</f>
        <v/>
      </c>
    </row>
    <row r="305">
      <c r="A305" t="inlineStr">
        <is>
          <t>D &gt;500 km</t>
        </is>
      </c>
      <c r="B305" t="inlineStr">
        <is>
          <t>18222478</t>
        </is>
      </c>
      <c r="C305" t="inlineStr">
        <is>
          <t>2026_NTPC_111805_1</t>
        </is>
      </c>
      <c r="D305" t="inlineStr">
        <is>
          <t>coal transportation from nlc talabira mines to ntpc kudgi through rcr</t>
        </is>
      </c>
      <c r="E305" t="inlineStr">
        <is>
          <t>Coal transport (RCR / siding)</t>
        </is>
      </c>
      <c r="F305" t="inlineStr">
        <is>
          <t>National Thermal Power Corporation Limited</t>
        </is>
      </c>
      <c r="G305" t="inlineStr">
        <is>
          <t>Karnataka</t>
        </is>
      </c>
      <c r="H305" t="inlineStr">
        <is>
          <t>Kudligi</t>
        </is>
      </c>
      <c r="I305" t="inlineStr">
        <is>
          <t>2026-05-14</t>
        </is>
      </c>
      <c r="J305" t="inlineStr">
        <is>
          <t>AOC</t>
        </is>
      </c>
      <c r="K305" t="inlineStr">
        <is>
          <t>Kalyani Ventures Limited</t>
        </is>
      </c>
      <c r="L305" t="inlineStr"/>
      <c r="M305" t="inlineStr">
        <is>
          <t>1 named / 1</t>
        </is>
      </c>
      <c r="N305" t="n">
        <v>1.5</v>
      </c>
      <c r="O305" t="n">
        <v>1074</v>
      </c>
      <c r="P305">
        <f>MAX(O305,Settings!$B$13)*Settings!$B$7</f>
        <v/>
      </c>
      <c r="Q305">
        <f>MAX(O305,Settings!$B$13)*Settings!$B$8</f>
        <v/>
      </c>
      <c r="R305" s="4">
        <f>MAX(P305*Settings!$B$5,IF(ISNUMBER(Settings!$B$12),Settings!$B$12,0))*(1+IF(Settings!$B$11="Y",0,Settings!$B$10/100))+N(Settings!$B$9)</f>
        <v/>
      </c>
      <c r="S305" s="4">
        <f>IF(Q305&gt;1000,"beyond table",IFERROR(LOOKUP(Q305,'FOIS 145A'!$A$2:$A$22,'FOIS 145A'!$C$2:$C$22),""))</f>
        <v/>
      </c>
      <c r="T305" s="4">
        <f>IF(ISNUMBER(S305),S305*(1+IF(Settings!$B$11="Y",0,Settings!$B$10/100))+2*N(Settings!$B$9),"")</f>
        <v/>
      </c>
      <c r="U305">
        <f>IF(ISNUMBER(T305),IF(T305&lt;R305,"Rail","Road"),"")</f>
        <v/>
      </c>
      <c r="V305" s="4">
        <f>IF(ISNUMBER(T305),ABS(R305-T305),"")</f>
        <v/>
      </c>
      <c r="W305">
        <f>IF(OR(ISNUMBER(SEARCH("siding",D305)),ISNUMBER(SEARCH("rcr",D305)),ISNUMBER(SEARCH("rail",D305)),ISNUMBER(SEARCH("wagon",D305))),"Yes - siding/rail in title","Check")</f>
        <v/>
      </c>
      <c r="X305">
        <f>Settings!$B$6</f>
        <v/>
      </c>
    </row>
    <row r="306">
      <c r="A306" t="inlineStr">
        <is>
          <t>D &gt;500 km</t>
        </is>
      </c>
      <c r="B306" t="inlineStr">
        <is>
          <t>13709349</t>
        </is>
      </c>
      <c r="C306" t="inlineStr">
        <is>
          <t>2025_HBC_443886_1</t>
        </is>
      </c>
      <c r="D306" t="inlineStr">
        <is>
          <t>engagement of agency for lifting of 9.0 lt coal (road-cum-rail mode) from mines of ccl, ranchi, handling and transportation of the same to r</t>
        </is>
      </c>
      <c r="E306" t="inlineStr">
        <is>
          <t>Coal transport (RCR / siding)</t>
        </is>
      </c>
      <c r="F306" t="inlineStr">
        <is>
          <t>Haryana Power Generation Corporation Limited</t>
        </is>
      </c>
      <c r="G306" t="inlineStr">
        <is>
          <t>Haryana</t>
        </is>
      </c>
      <c r="H306" t="inlineStr">
        <is>
          <t>Panchkula</t>
        </is>
      </c>
      <c r="I306" t="inlineStr">
        <is>
          <t>2025-05-28</t>
        </is>
      </c>
      <c r="J306" t="inlineStr">
        <is>
          <t>AOC</t>
        </is>
      </c>
      <c r="K306" t="inlineStr">
        <is>
          <t>Aka Logistics Private Limited, Godavari Commodities Limited, Mohit Minerals Limited</t>
        </is>
      </c>
      <c r="L306" t="inlineStr">
        <is>
          <t>Godavari Commodities, Mohit Minerals</t>
        </is>
      </c>
      <c r="M306" t="inlineStr">
        <is>
          <t>4 named / 4</t>
        </is>
      </c>
      <c r="N306" t="n">
        <v>28.02</v>
      </c>
      <c r="O306" t="n">
        <v>1174</v>
      </c>
      <c r="P306">
        <f>MAX(O306,Settings!$B$13)*Settings!$B$7</f>
        <v/>
      </c>
      <c r="Q306">
        <f>MAX(O306,Settings!$B$13)*Settings!$B$8</f>
        <v/>
      </c>
      <c r="R306" s="4">
        <f>MAX(P306*Settings!$B$5,IF(ISNUMBER(Settings!$B$12),Settings!$B$12,0))*(1+IF(Settings!$B$11="Y",0,Settings!$B$10/100))+N(Settings!$B$9)</f>
        <v/>
      </c>
      <c r="S306" s="4">
        <f>IF(Q306&gt;1000,"beyond table",IFERROR(LOOKUP(Q306,'FOIS 145A'!$A$2:$A$22,'FOIS 145A'!$C$2:$C$22),""))</f>
        <v/>
      </c>
      <c r="T306" s="4">
        <f>IF(ISNUMBER(S306),S306*(1+IF(Settings!$B$11="Y",0,Settings!$B$10/100))+2*N(Settings!$B$9),"")</f>
        <v/>
      </c>
      <c r="U306">
        <f>IF(ISNUMBER(T306),IF(T306&lt;R306,"Rail","Road"),"")</f>
        <v/>
      </c>
      <c r="V306" s="4">
        <f>IF(ISNUMBER(T306),ABS(R306-T306),"")</f>
        <v/>
      </c>
      <c r="W306">
        <f>IF(OR(ISNUMBER(SEARCH("siding",D306)),ISNUMBER(SEARCH("rcr",D306)),ISNUMBER(SEARCH("rail",D306)),ISNUMBER(SEARCH("wagon",D306))),"Yes - siding/rail in title","Check")</f>
        <v/>
      </c>
      <c r="X306">
        <f>Settings!$B$6</f>
        <v/>
      </c>
    </row>
    <row r="307">
      <c r="A307" t="inlineStr">
        <is>
          <t>D &gt;500 km</t>
        </is>
      </c>
      <c r="B307" t="inlineStr">
        <is>
          <t>18065871</t>
        </is>
      </c>
      <c r="C307" t="inlineStr">
        <is>
          <t>2026_TNPL_694205_1</t>
        </is>
      </c>
      <c r="D307" t="inlineStr">
        <is>
          <t>procurement of 4200 gar imported steaming non coking coal in bulk</t>
        </is>
      </c>
      <c r="E307" t="inlineStr">
        <is>
          <t>Coal supply</t>
        </is>
      </c>
      <c r="F307" t="inlineStr">
        <is>
          <t>Tamil Nadu Newsprint And Papers Limited</t>
        </is>
      </c>
      <c r="G307" t="inlineStr">
        <is>
          <t>Tamil Nadu</t>
        </is>
      </c>
      <c r="H307" t="inlineStr">
        <is>
          <t>Karur</t>
        </is>
      </c>
      <c r="I307" t="inlineStr">
        <is>
          <t>2026-08-28</t>
        </is>
      </c>
      <c r="J307" t="inlineStr">
        <is>
          <t>AOC</t>
        </is>
      </c>
      <c r="K307" t="inlineStr">
        <is>
          <t>Smartgen Infra Private Limited</t>
        </is>
      </c>
      <c r="L307" t="inlineStr">
        <is>
          <t>Mohit Minerals</t>
        </is>
      </c>
      <c r="M307" t="inlineStr">
        <is>
          <t>5 named / 6</t>
        </is>
      </c>
      <c r="N307" t="n">
        <v>128.57</v>
      </c>
      <c r="O307" t="n">
        <v>1342</v>
      </c>
      <c r="P307">
        <f>MAX(O307,Settings!$B$13)*Settings!$B$7</f>
        <v/>
      </c>
      <c r="Q307">
        <f>MAX(O307,Settings!$B$13)*Settings!$B$8</f>
        <v/>
      </c>
      <c r="R307" s="4">
        <f>MAX(P307*Settings!$B$5,IF(ISNUMBER(Settings!$B$12),Settings!$B$12,0))*(1+IF(Settings!$B$11="Y",0,Settings!$B$10/100))+N(Settings!$B$9)</f>
        <v/>
      </c>
      <c r="S307" s="4">
        <f>IF(Q307&gt;1000,"beyond table",IFERROR(LOOKUP(Q307,'FOIS 145A'!$A$2:$A$22,'FOIS 145A'!$C$2:$C$22),""))</f>
        <v/>
      </c>
      <c r="T307" s="4">
        <f>IF(ISNUMBER(S307),S307*(1+IF(Settings!$B$11="Y",0,Settings!$B$10/100))+2*N(Settings!$B$9),"")</f>
        <v/>
      </c>
      <c r="U307">
        <f>IF(ISNUMBER(T307),IF(T307&lt;R307,"Rail","Road"),"")</f>
        <v/>
      </c>
      <c r="V307" s="4">
        <f>IF(ISNUMBER(T307),ABS(R307-T307),"")</f>
        <v/>
      </c>
      <c r="W307">
        <f>IF(OR(ISNUMBER(SEARCH("siding",D307)),ISNUMBER(SEARCH("rcr",D307)),ISNUMBER(SEARCH("rail",D307)),ISNUMBER(SEARCH("wagon",D307))),"Yes - siding/rail in title","Check")</f>
        <v/>
      </c>
      <c r="X307">
        <f>Settings!$B$6</f>
        <v/>
      </c>
    </row>
    <row r="308">
      <c r="A308" t="inlineStr">
        <is>
          <t>D &gt;500 km</t>
        </is>
      </c>
      <c r="B308" t="inlineStr">
        <is>
          <t>17412591</t>
        </is>
      </c>
      <c r="C308" t="inlineStr">
        <is>
          <t>2026_TNPL_677967_1</t>
        </is>
      </c>
      <c r="D308" t="inlineStr">
        <is>
          <t>procurement of 4200 gar imported steaming non coking coal in bulk</t>
        </is>
      </c>
      <c r="E308" t="inlineStr">
        <is>
          <t>Coal supply</t>
        </is>
      </c>
      <c r="F308" t="inlineStr">
        <is>
          <t>Tamil Nadu Newsprint And Papers Limited</t>
        </is>
      </c>
      <c r="G308" t="inlineStr">
        <is>
          <t>Tamil Nadu</t>
        </is>
      </c>
      <c r="H308" t="inlineStr">
        <is>
          <t>Karur</t>
        </is>
      </c>
      <c r="I308" t="inlineStr">
        <is>
          <t>2026-06-08</t>
        </is>
      </c>
      <c r="J308" t="inlineStr">
        <is>
          <t>AOC</t>
        </is>
      </c>
      <c r="K308" t="inlineStr">
        <is>
          <t>Global Coal Ventures Private Limited, Smartgen Infra Private Limited</t>
        </is>
      </c>
      <c r="L308" t="inlineStr">
        <is>
          <t>Mohit Minerals</t>
        </is>
      </c>
      <c r="M308" t="inlineStr">
        <is>
          <t>5 named / 7</t>
        </is>
      </c>
      <c r="N308" t="n">
        <v>129.85</v>
      </c>
      <c r="O308" t="n">
        <v>1342</v>
      </c>
      <c r="P308">
        <f>MAX(O308,Settings!$B$13)*Settings!$B$7</f>
        <v/>
      </c>
      <c r="Q308">
        <f>MAX(O308,Settings!$B$13)*Settings!$B$8</f>
        <v/>
      </c>
      <c r="R308" s="4">
        <f>MAX(P308*Settings!$B$5,IF(ISNUMBER(Settings!$B$12),Settings!$B$12,0))*(1+IF(Settings!$B$11="Y",0,Settings!$B$10/100))+N(Settings!$B$9)</f>
        <v/>
      </c>
      <c r="S308" s="4">
        <f>IF(Q308&gt;1000,"beyond table",IFERROR(LOOKUP(Q308,'FOIS 145A'!$A$2:$A$22,'FOIS 145A'!$C$2:$C$22),""))</f>
        <v/>
      </c>
      <c r="T308" s="4">
        <f>IF(ISNUMBER(S308),S308*(1+IF(Settings!$B$11="Y",0,Settings!$B$10/100))+2*N(Settings!$B$9),"")</f>
        <v/>
      </c>
      <c r="U308">
        <f>IF(ISNUMBER(T308),IF(T308&lt;R308,"Rail","Road"),"")</f>
        <v/>
      </c>
      <c r="V308" s="4">
        <f>IF(ISNUMBER(T308),ABS(R308-T308),"")</f>
        <v/>
      </c>
      <c r="W308">
        <f>IF(OR(ISNUMBER(SEARCH("siding",D308)),ISNUMBER(SEARCH("rcr",D308)),ISNUMBER(SEARCH("rail",D308)),ISNUMBER(SEARCH("wagon",D308))),"Yes - siding/rail in title","Check")</f>
        <v/>
      </c>
      <c r="X308">
        <f>Settings!$B$6</f>
        <v/>
      </c>
    </row>
    <row r="309">
      <c r="A309" t="inlineStr">
        <is>
          <t>D &gt;500 km</t>
        </is>
      </c>
      <c r="B309" t="inlineStr">
        <is>
          <t>16956217</t>
        </is>
      </c>
      <c r="C309" t="inlineStr">
        <is>
          <t>2026_TNPL_675457_1</t>
        </is>
      </c>
      <c r="D309" t="inlineStr">
        <is>
          <t>procurement of 4200 gar imported steaming non coking coal in bulk through stock and sale basis and arrange for delivery at tnpl factory basi</t>
        </is>
      </c>
      <c r="E309" t="inlineStr">
        <is>
          <t>Coal supply</t>
        </is>
      </c>
      <c r="F309" t="inlineStr">
        <is>
          <t>Tamil Nadu Newsprint And Papers Limited</t>
        </is>
      </c>
      <c r="G309" t="inlineStr">
        <is>
          <t>Tamil Nadu</t>
        </is>
      </c>
      <c r="H309" t="inlineStr">
        <is>
          <t>Karur</t>
        </is>
      </c>
      <c r="I309" t="inlineStr">
        <is>
          <t>2026-04-07</t>
        </is>
      </c>
      <c r="J309" t="inlineStr">
        <is>
          <t>AOC</t>
        </is>
      </c>
      <c r="K309" t="inlineStr">
        <is>
          <t>Mohit Minerals Limited</t>
        </is>
      </c>
      <c r="L309" t="inlineStr">
        <is>
          <t>Mohit Minerals</t>
        </is>
      </c>
      <c r="M309" t="inlineStr">
        <is>
          <t>4 named / 4</t>
        </is>
      </c>
      <c r="N309" t="n">
        <v>17.75</v>
      </c>
      <c r="O309" t="n">
        <v>1342</v>
      </c>
      <c r="P309">
        <f>MAX(O309,Settings!$B$13)*Settings!$B$7</f>
        <v/>
      </c>
      <c r="Q309">
        <f>MAX(O309,Settings!$B$13)*Settings!$B$8</f>
        <v/>
      </c>
      <c r="R309" s="4">
        <f>MAX(P309*Settings!$B$5,IF(ISNUMBER(Settings!$B$12),Settings!$B$12,0))*(1+IF(Settings!$B$11="Y",0,Settings!$B$10/100))+N(Settings!$B$9)</f>
        <v/>
      </c>
      <c r="S309" s="4">
        <f>IF(Q309&gt;1000,"beyond table",IFERROR(LOOKUP(Q309,'FOIS 145A'!$A$2:$A$22,'FOIS 145A'!$C$2:$C$22),""))</f>
        <v/>
      </c>
      <c r="T309" s="4">
        <f>IF(ISNUMBER(S309),S309*(1+IF(Settings!$B$11="Y",0,Settings!$B$10/100))+2*N(Settings!$B$9),"")</f>
        <v/>
      </c>
      <c r="U309">
        <f>IF(ISNUMBER(T309),IF(T309&lt;R309,"Rail","Road"),"")</f>
        <v/>
      </c>
      <c r="V309" s="4">
        <f>IF(ISNUMBER(T309),ABS(R309-T309),"")</f>
        <v/>
      </c>
      <c r="W309">
        <f>IF(OR(ISNUMBER(SEARCH("siding",D309)),ISNUMBER(SEARCH("rcr",D309)),ISNUMBER(SEARCH("rail",D309)),ISNUMBER(SEARCH("wagon",D309))),"Yes - siding/rail in title","Check")</f>
        <v/>
      </c>
      <c r="X309">
        <f>Settings!$B$6</f>
        <v/>
      </c>
    </row>
    <row r="310">
      <c r="A310" t="inlineStr">
        <is>
          <t>D &gt;500 km</t>
        </is>
      </c>
      <c r="B310" t="inlineStr">
        <is>
          <t>16885255</t>
        </is>
      </c>
      <c r="C310" t="inlineStr">
        <is>
          <t>2026_TNPL_674410_1</t>
        </is>
      </c>
      <c r="D310" t="inlineStr">
        <is>
          <t>procurement of 4200 gar imported steaming non coking coal in bulk</t>
        </is>
      </c>
      <c r="E310" t="inlineStr">
        <is>
          <t>Coal supply</t>
        </is>
      </c>
      <c r="F310" t="inlineStr">
        <is>
          <t>Tamil Nadu Newsprint And Papers Limited</t>
        </is>
      </c>
      <c r="G310" t="inlineStr">
        <is>
          <t>Tamil Nadu</t>
        </is>
      </c>
      <c r="H310" t="inlineStr">
        <is>
          <t>Karur</t>
        </is>
      </c>
      <c r="I310" t="inlineStr">
        <is>
          <t>2026-03-28</t>
        </is>
      </c>
      <c r="J310" t="inlineStr">
        <is>
          <t>AOC</t>
        </is>
      </c>
      <c r="K310" t="inlineStr">
        <is>
          <t>Mohit Minerals Limited</t>
        </is>
      </c>
      <c r="L310" t="inlineStr">
        <is>
          <t>Mohit Minerals</t>
        </is>
      </c>
      <c r="M310" t="inlineStr">
        <is>
          <t>5 named / 6</t>
        </is>
      </c>
      <c r="N310" t="n">
        <v>60.63</v>
      </c>
      <c r="O310" t="n">
        <v>1342</v>
      </c>
      <c r="P310">
        <f>MAX(O310,Settings!$B$13)*Settings!$B$7</f>
        <v/>
      </c>
      <c r="Q310">
        <f>MAX(O310,Settings!$B$13)*Settings!$B$8</f>
        <v/>
      </c>
      <c r="R310" s="4">
        <f>MAX(P310*Settings!$B$5,IF(ISNUMBER(Settings!$B$12),Settings!$B$12,0))*(1+IF(Settings!$B$11="Y",0,Settings!$B$10/100))+N(Settings!$B$9)</f>
        <v/>
      </c>
      <c r="S310" s="4">
        <f>IF(Q310&gt;1000,"beyond table",IFERROR(LOOKUP(Q310,'FOIS 145A'!$A$2:$A$22,'FOIS 145A'!$C$2:$C$22),""))</f>
        <v/>
      </c>
      <c r="T310" s="4">
        <f>IF(ISNUMBER(S310),S310*(1+IF(Settings!$B$11="Y",0,Settings!$B$10/100))+2*N(Settings!$B$9),"")</f>
        <v/>
      </c>
      <c r="U310">
        <f>IF(ISNUMBER(T310),IF(T310&lt;R310,"Rail","Road"),"")</f>
        <v/>
      </c>
      <c r="V310" s="4">
        <f>IF(ISNUMBER(T310),ABS(R310-T310),"")</f>
        <v/>
      </c>
      <c r="W310">
        <f>IF(OR(ISNUMBER(SEARCH("siding",D310)),ISNUMBER(SEARCH("rcr",D310)),ISNUMBER(SEARCH("rail",D310)),ISNUMBER(SEARCH("wagon",D310))),"Yes - siding/rail in title","Check")</f>
        <v/>
      </c>
      <c r="X310">
        <f>Settings!$B$6</f>
        <v/>
      </c>
    </row>
    <row r="311">
      <c r="A311" t="inlineStr">
        <is>
          <t>D &gt;500 km</t>
        </is>
      </c>
      <c r="B311" t="inlineStr">
        <is>
          <t>16527962</t>
        </is>
      </c>
      <c r="C311" t="inlineStr">
        <is>
          <t>2026_TNPL_651475_2</t>
        </is>
      </c>
      <c r="D311" t="inlineStr">
        <is>
          <t>procurement of 4200 gar imported steaming non coking coal in bulk</t>
        </is>
      </c>
      <c r="E311" t="inlineStr">
        <is>
          <t>Coal supply</t>
        </is>
      </c>
      <c r="F311" t="inlineStr">
        <is>
          <t>Tamil Nadu Newsprint And Papers Limited</t>
        </is>
      </c>
      <c r="G311" t="inlineStr">
        <is>
          <t>Tamil Nadu</t>
        </is>
      </c>
      <c r="H311" t="inlineStr">
        <is>
          <t>Karur</t>
        </is>
      </c>
      <c r="I311" t="inlineStr">
        <is>
          <t>2026-02-20</t>
        </is>
      </c>
      <c r="J311" t="inlineStr">
        <is>
          <t>AOC</t>
        </is>
      </c>
      <c r="K311" t="inlineStr">
        <is>
          <t>Smartgen Infra Private Limited</t>
        </is>
      </c>
      <c r="L311" t="inlineStr">
        <is>
          <t>Mohit Minerals</t>
        </is>
      </c>
      <c r="M311" t="inlineStr">
        <is>
          <t>5 named / 7</t>
        </is>
      </c>
      <c r="N311" t="n">
        <v>210.06</v>
      </c>
      <c r="O311" t="n">
        <v>1342</v>
      </c>
      <c r="P311">
        <f>MAX(O311,Settings!$B$13)*Settings!$B$7</f>
        <v/>
      </c>
      <c r="Q311">
        <f>MAX(O311,Settings!$B$13)*Settings!$B$8</f>
        <v/>
      </c>
      <c r="R311" s="4">
        <f>MAX(P311*Settings!$B$5,IF(ISNUMBER(Settings!$B$12),Settings!$B$12,0))*(1+IF(Settings!$B$11="Y",0,Settings!$B$10/100))+N(Settings!$B$9)</f>
        <v/>
      </c>
      <c r="S311" s="4">
        <f>IF(Q311&gt;1000,"beyond table",IFERROR(LOOKUP(Q311,'FOIS 145A'!$A$2:$A$22,'FOIS 145A'!$C$2:$C$22),""))</f>
        <v/>
      </c>
      <c r="T311" s="4">
        <f>IF(ISNUMBER(S311),S311*(1+IF(Settings!$B$11="Y",0,Settings!$B$10/100))+2*N(Settings!$B$9),"")</f>
        <v/>
      </c>
      <c r="U311">
        <f>IF(ISNUMBER(T311),IF(T311&lt;R311,"Rail","Road"),"")</f>
        <v/>
      </c>
      <c r="V311" s="4">
        <f>IF(ISNUMBER(T311),ABS(R311-T311),"")</f>
        <v/>
      </c>
      <c r="W311">
        <f>IF(OR(ISNUMBER(SEARCH("siding",D311)),ISNUMBER(SEARCH("rcr",D311)),ISNUMBER(SEARCH("rail",D311)),ISNUMBER(SEARCH("wagon",D311))),"Yes - siding/rail in title","Check")</f>
        <v/>
      </c>
      <c r="X311">
        <f>Settings!$B$6</f>
        <v/>
      </c>
    </row>
    <row r="312">
      <c r="A312" t="inlineStr">
        <is>
          <t>D &gt;500 km</t>
        </is>
      </c>
      <c r="B312" t="inlineStr">
        <is>
          <t>15468873</t>
        </is>
      </c>
      <c r="C312" t="inlineStr">
        <is>
          <t>2025_TNPL_611261_1</t>
        </is>
      </c>
      <c r="D312" t="inlineStr">
        <is>
          <t>procurement of 4200 gar imported steaming non coking coal in bulk</t>
        </is>
      </c>
      <c r="E312" t="inlineStr">
        <is>
          <t>Coal supply</t>
        </is>
      </c>
      <c r="F312" t="inlineStr">
        <is>
          <t>Tamil Nadu Newsprint And Papers Limited</t>
        </is>
      </c>
      <c r="G312" t="inlineStr">
        <is>
          <t>Tamil Nadu</t>
        </is>
      </c>
      <c r="H312" t="inlineStr">
        <is>
          <t>Karur</t>
        </is>
      </c>
      <c r="I312" t="inlineStr">
        <is>
          <t>2025-11-03</t>
        </is>
      </c>
      <c r="J312" t="inlineStr">
        <is>
          <t>AOC</t>
        </is>
      </c>
      <c r="K312" t="inlineStr">
        <is>
          <t>Mohit Minerals Limited</t>
        </is>
      </c>
      <c r="L312" t="inlineStr">
        <is>
          <t>Mohit Minerals</t>
        </is>
      </c>
      <c r="M312" t="inlineStr">
        <is>
          <t>5 named / 6</t>
        </is>
      </c>
      <c r="N312" t="n">
        <v>126.64</v>
      </c>
      <c r="O312" t="n">
        <v>1342</v>
      </c>
      <c r="P312">
        <f>MAX(O312,Settings!$B$13)*Settings!$B$7</f>
        <v/>
      </c>
      <c r="Q312">
        <f>MAX(O312,Settings!$B$13)*Settings!$B$8</f>
        <v/>
      </c>
      <c r="R312" s="4">
        <f>MAX(P312*Settings!$B$5,IF(ISNUMBER(Settings!$B$12),Settings!$B$12,0))*(1+IF(Settings!$B$11="Y",0,Settings!$B$10/100))+N(Settings!$B$9)</f>
        <v/>
      </c>
      <c r="S312" s="4">
        <f>IF(Q312&gt;1000,"beyond table",IFERROR(LOOKUP(Q312,'FOIS 145A'!$A$2:$A$22,'FOIS 145A'!$C$2:$C$22),""))</f>
        <v/>
      </c>
      <c r="T312" s="4">
        <f>IF(ISNUMBER(S312),S312*(1+IF(Settings!$B$11="Y",0,Settings!$B$10/100))+2*N(Settings!$B$9),"")</f>
        <v/>
      </c>
      <c r="U312">
        <f>IF(ISNUMBER(T312),IF(T312&lt;R312,"Rail","Road"),"")</f>
        <v/>
      </c>
      <c r="V312" s="4">
        <f>IF(ISNUMBER(T312),ABS(R312-T312),"")</f>
        <v/>
      </c>
      <c r="W312">
        <f>IF(OR(ISNUMBER(SEARCH("siding",D312)),ISNUMBER(SEARCH("rcr",D312)),ISNUMBER(SEARCH("rail",D312)),ISNUMBER(SEARCH("wagon",D312))),"Yes - siding/rail in title","Check")</f>
        <v/>
      </c>
      <c r="X312">
        <f>Settings!$B$6</f>
        <v/>
      </c>
    </row>
    <row r="313">
      <c r="A313" t="inlineStr">
        <is>
          <t>D &gt;500 km</t>
        </is>
      </c>
      <c r="B313" t="inlineStr">
        <is>
          <t>14516832</t>
        </is>
      </c>
      <c r="C313" t="inlineStr">
        <is>
          <t>2025_TNPL_582316_1</t>
        </is>
      </c>
      <c r="D313" t="inlineStr">
        <is>
          <t>procurement of 4200 gar imported steaming non coking coal in bulk</t>
        </is>
      </c>
      <c r="E313" t="inlineStr">
        <is>
          <t>Coal supply</t>
        </is>
      </c>
      <c r="F313" t="inlineStr">
        <is>
          <t>Tamil Nadu Newsprint And Papers Limited</t>
        </is>
      </c>
      <c r="G313" t="inlineStr">
        <is>
          <t>Tamil Nadu</t>
        </is>
      </c>
      <c r="H313" t="inlineStr">
        <is>
          <t>Karur</t>
        </is>
      </c>
      <c r="I313" t="inlineStr">
        <is>
          <t>2025-07-28</t>
        </is>
      </c>
      <c r="J313" t="inlineStr">
        <is>
          <t>AOC</t>
        </is>
      </c>
      <c r="K313" t="inlineStr">
        <is>
          <t>Mbg Commodities Private Limited</t>
        </is>
      </c>
      <c r="L313" t="inlineStr"/>
      <c r="M313" t="inlineStr">
        <is>
          <t>5 named / 9</t>
        </is>
      </c>
      <c r="N313" t="n">
        <v>104.77</v>
      </c>
      <c r="O313" t="n">
        <v>1342</v>
      </c>
      <c r="P313">
        <f>MAX(O313,Settings!$B$13)*Settings!$B$7</f>
        <v/>
      </c>
      <c r="Q313">
        <f>MAX(O313,Settings!$B$13)*Settings!$B$8</f>
        <v/>
      </c>
      <c r="R313" s="4">
        <f>MAX(P313*Settings!$B$5,IF(ISNUMBER(Settings!$B$12),Settings!$B$12,0))*(1+IF(Settings!$B$11="Y",0,Settings!$B$10/100))+N(Settings!$B$9)</f>
        <v/>
      </c>
      <c r="S313" s="4">
        <f>IF(Q313&gt;1000,"beyond table",IFERROR(LOOKUP(Q313,'FOIS 145A'!$A$2:$A$22,'FOIS 145A'!$C$2:$C$22),""))</f>
        <v/>
      </c>
      <c r="T313" s="4">
        <f>IF(ISNUMBER(S313),S313*(1+IF(Settings!$B$11="Y",0,Settings!$B$10/100))+2*N(Settings!$B$9),"")</f>
        <v/>
      </c>
      <c r="U313">
        <f>IF(ISNUMBER(T313),IF(T313&lt;R313,"Rail","Road"),"")</f>
        <v/>
      </c>
      <c r="V313" s="4">
        <f>IF(ISNUMBER(T313),ABS(R313-T313),"")</f>
        <v/>
      </c>
      <c r="W313">
        <f>IF(OR(ISNUMBER(SEARCH("siding",D313)),ISNUMBER(SEARCH("rcr",D313)),ISNUMBER(SEARCH("rail",D313)),ISNUMBER(SEARCH("wagon",D313))),"Yes - siding/rail in title","Check")</f>
        <v/>
      </c>
      <c r="X313">
        <f>Settings!$B$6</f>
        <v/>
      </c>
    </row>
    <row r="314">
      <c r="A314" t="inlineStr">
        <is>
          <t>D &gt;500 km</t>
        </is>
      </c>
      <c r="B314" t="inlineStr">
        <is>
          <t>14114281</t>
        </is>
      </c>
      <c r="C314" t="inlineStr">
        <is>
          <t>2025_TNPL_564326_1</t>
        </is>
      </c>
      <c r="D314" t="inlineStr">
        <is>
          <t>procurement of 4200 gar imported steaming non coking coal in bulk</t>
        </is>
      </c>
      <c r="E314" t="inlineStr">
        <is>
          <t>Coal supply</t>
        </is>
      </c>
      <c r="F314" t="inlineStr">
        <is>
          <t>Tamil Nadu Newsprint And Papers Limited</t>
        </is>
      </c>
      <c r="G314" t="inlineStr">
        <is>
          <t>Tamil Nadu</t>
        </is>
      </c>
      <c r="H314" t="inlineStr">
        <is>
          <t>Karur</t>
        </is>
      </c>
      <c r="I314" t="inlineStr">
        <is>
          <t>2025-06-17</t>
        </is>
      </c>
      <c r="J314" t="inlineStr">
        <is>
          <t>AOC</t>
        </is>
      </c>
      <c r="K314" t="inlineStr">
        <is>
          <t>Anand Carbo Private Limited, Mbg Commodities Private Limited</t>
        </is>
      </c>
      <c r="L314" t="inlineStr">
        <is>
          <t>Mohit Minerals</t>
        </is>
      </c>
      <c r="M314" t="inlineStr">
        <is>
          <t>5 named / 9</t>
        </is>
      </c>
      <c r="N314" t="n">
        <v>66.59999999999999</v>
      </c>
      <c r="O314" t="n">
        <v>1342</v>
      </c>
      <c r="P314">
        <f>MAX(O314,Settings!$B$13)*Settings!$B$7</f>
        <v/>
      </c>
      <c r="Q314">
        <f>MAX(O314,Settings!$B$13)*Settings!$B$8</f>
        <v/>
      </c>
      <c r="R314" s="4">
        <f>MAX(P314*Settings!$B$5,IF(ISNUMBER(Settings!$B$12),Settings!$B$12,0))*(1+IF(Settings!$B$11="Y",0,Settings!$B$10/100))+N(Settings!$B$9)</f>
        <v/>
      </c>
      <c r="S314" s="4">
        <f>IF(Q314&gt;1000,"beyond table",IFERROR(LOOKUP(Q314,'FOIS 145A'!$A$2:$A$22,'FOIS 145A'!$C$2:$C$22),""))</f>
        <v/>
      </c>
      <c r="T314" s="4">
        <f>IF(ISNUMBER(S314),S314*(1+IF(Settings!$B$11="Y",0,Settings!$B$10/100))+2*N(Settings!$B$9),"")</f>
        <v/>
      </c>
      <c r="U314">
        <f>IF(ISNUMBER(T314),IF(T314&lt;R314,"Rail","Road"),"")</f>
        <v/>
      </c>
      <c r="V314" s="4">
        <f>IF(ISNUMBER(T314),ABS(R314-T314),"")</f>
        <v/>
      </c>
      <c r="W314">
        <f>IF(OR(ISNUMBER(SEARCH("siding",D314)),ISNUMBER(SEARCH("rcr",D314)),ISNUMBER(SEARCH("rail",D314)),ISNUMBER(SEARCH("wagon",D314))),"Yes - siding/rail in title","Check")</f>
        <v/>
      </c>
      <c r="X314">
        <f>Settings!$B$6</f>
        <v/>
      </c>
    </row>
    <row r="315">
      <c r="A315" t="inlineStr">
        <is>
          <t>D &gt;500 km</t>
        </is>
      </c>
      <c r="B315" t="inlineStr">
        <is>
          <t>13122152</t>
        </is>
      </c>
      <c r="C315" t="inlineStr">
        <is>
          <t>2025_TNPL_532438_1</t>
        </is>
      </c>
      <c r="D315" t="inlineStr">
        <is>
          <t>procurement of 4200 gar imported steaming non coking coal in bulk</t>
        </is>
      </c>
      <c r="E315" t="inlineStr">
        <is>
          <t>Coal supply</t>
        </is>
      </c>
      <c r="F315" t="inlineStr">
        <is>
          <t>Tamil Nadu Newsprint And Papers Limited</t>
        </is>
      </c>
      <c r="G315" t="inlineStr">
        <is>
          <t>Tamil Nadu</t>
        </is>
      </c>
      <c r="H315" t="inlineStr">
        <is>
          <t>Karur</t>
        </is>
      </c>
      <c r="I315" t="inlineStr">
        <is>
          <t>2025-03-28</t>
        </is>
      </c>
      <c r="J315" t="inlineStr">
        <is>
          <t>AOC</t>
        </is>
      </c>
      <c r="K315" t="inlineStr">
        <is>
          <t>Global Coal Ventures Private Limited, Saraogi Udyog Private Limited</t>
        </is>
      </c>
      <c r="L315" t="inlineStr">
        <is>
          <t>Mohit Minerals</t>
        </is>
      </c>
      <c r="M315" t="inlineStr">
        <is>
          <t>5 named / 5</t>
        </is>
      </c>
      <c r="N315" t="n">
        <v>95.5</v>
      </c>
      <c r="O315" t="n">
        <v>1342</v>
      </c>
      <c r="P315">
        <f>MAX(O315,Settings!$B$13)*Settings!$B$7</f>
        <v/>
      </c>
      <c r="Q315">
        <f>MAX(O315,Settings!$B$13)*Settings!$B$8</f>
        <v/>
      </c>
      <c r="R315" s="4">
        <f>MAX(P315*Settings!$B$5,IF(ISNUMBER(Settings!$B$12),Settings!$B$12,0))*(1+IF(Settings!$B$11="Y",0,Settings!$B$10/100))+N(Settings!$B$9)</f>
        <v/>
      </c>
      <c r="S315" s="4">
        <f>IF(Q315&gt;1000,"beyond table",IFERROR(LOOKUP(Q315,'FOIS 145A'!$A$2:$A$22,'FOIS 145A'!$C$2:$C$22),""))</f>
        <v/>
      </c>
      <c r="T315" s="4">
        <f>IF(ISNUMBER(S315),S315*(1+IF(Settings!$B$11="Y",0,Settings!$B$10/100))+2*N(Settings!$B$9),"")</f>
        <v/>
      </c>
      <c r="U315">
        <f>IF(ISNUMBER(T315),IF(T315&lt;R315,"Rail","Road"),"")</f>
        <v/>
      </c>
      <c r="V315" s="4">
        <f>IF(ISNUMBER(T315),ABS(R315-T315),"")</f>
        <v/>
      </c>
      <c r="W315">
        <f>IF(OR(ISNUMBER(SEARCH("siding",D315)),ISNUMBER(SEARCH("rcr",D315)),ISNUMBER(SEARCH("rail",D315)),ISNUMBER(SEARCH("wagon",D315))),"Yes - siding/rail in title","Check")</f>
        <v/>
      </c>
      <c r="X315">
        <f>Settings!$B$6</f>
        <v/>
      </c>
    </row>
    <row r="316">
      <c r="A316" t="inlineStr">
        <is>
          <t>D &gt;500 km</t>
        </is>
      </c>
      <c r="B316" t="inlineStr">
        <is>
          <t>12471239</t>
        </is>
      </c>
      <c r="C316" t="inlineStr">
        <is>
          <t>2025_TNPL_517889_1</t>
        </is>
      </c>
      <c r="D316" t="inlineStr">
        <is>
          <t>procurement of 4200 gar imported steaming non coking coal in bulk</t>
        </is>
      </c>
      <c r="E316" t="inlineStr">
        <is>
          <t>Coal supply</t>
        </is>
      </c>
      <c r="F316" t="inlineStr">
        <is>
          <t>Tamil Nadu Newsprint And Papers Limited</t>
        </is>
      </c>
      <c r="G316" t="inlineStr">
        <is>
          <t>Tamil Nadu</t>
        </is>
      </c>
      <c r="H316" t="inlineStr">
        <is>
          <t>Karur</t>
        </is>
      </c>
      <c r="I316" t="inlineStr">
        <is>
          <t>2025-01-24</t>
        </is>
      </c>
      <c r="J316" t="inlineStr">
        <is>
          <t>AOC</t>
        </is>
      </c>
      <c r="K316" t="inlineStr">
        <is>
          <t>Global Coal Ventures Private Limited, Taranjot Resources Private Limited</t>
        </is>
      </c>
      <c r="L316" t="inlineStr">
        <is>
          <t>Mohit Minerals</t>
        </is>
      </c>
      <c r="M316" t="inlineStr">
        <is>
          <t>5 named / 6</t>
        </is>
      </c>
      <c r="N316" t="n">
        <v>94.73</v>
      </c>
      <c r="O316" t="n">
        <v>1342</v>
      </c>
      <c r="P316">
        <f>MAX(O316,Settings!$B$13)*Settings!$B$7</f>
        <v/>
      </c>
      <c r="Q316">
        <f>MAX(O316,Settings!$B$13)*Settings!$B$8</f>
        <v/>
      </c>
      <c r="R316" s="4">
        <f>MAX(P316*Settings!$B$5,IF(ISNUMBER(Settings!$B$12),Settings!$B$12,0))*(1+IF(Settings!$B$11="Y",0,Settings!$B$10/100))+N(Settings!$B$9)</f>
        <v/>
      </c>
      <c r="S316" s="4">
        <f>IF(Q316&gt;1000,"beyond table",IFERROR(LOOKUP(Q316,'FOIS 145A'!$A$2:$A$22,'FOIS 145A'!$C$2:$C$22),""))</f>
        <v/>
      </c>
      <c r="T316" s="4">
        <f>IF(ISNUMBER(S316),S316*(1+IF(Settings!$B$11="Y",0,Settings!$B$10/100))+2*N(Settings!$B$9),"")</f>
        <v/>
      </c>
      <c r="U316">
        <f>IF(ISNUMBER(T316),IF(T316&lt;R316,"Rail","Road"),"")</f>
        <v/>
      </c>
      <c r="V316" s="4">
        <f>IF(ISNUMBER(T316),ABS(R316-T316),"")</f>
        <v/>
      </c>
      <c r="W316">
        <f>IF(OR(ISNUMBER(SEARCH("siding",D316)),ISNUMBER(SEARCH("rcr",D316)),ISNUMBER(SEARCH("rail",D316)),ISNUMBER(SEARCH("wagon",D316))),"Yes - siding/rail in title","Check")</f>
        <v/>
      </c>
      <c r="X316">
        <f>Settings!$B$6</f>
        <v/>
      </c>
    </row>
  </sheetData>
  <autoFilter ref="A1:X3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C13"/>
  <sheetViews>
    <sheetView workbookViewId="0">
      <selection activeCell="A1" sqref="A1"/>
    </sheetView>
  </sheetViews>
  <sheetFormatPr baseColWidth="8" defaultRowHeight="15"/>
  <cols>
    <col width="48" customWidth="1" min="1" max="1"/>
    <col width="34" customWidth="1" min="2" max="2"/>
    <col width="90" customWidth="1" min="3" max="3"/>
  </cols>
  <sheetData>
    <row r="2">
      <c r="A2" s="5" t="inlineStr">
        <is>
          <t>Setting</t>
        </is>
      </c>
      <c r="B2" s="5" t="inlineStr">
        <is>
          <t>Value</t>
        </is>
      </c>
      <c r="C2" s="5" t="inlineStr">
        <is>
          <t>Note</t>
        </is>
      </c>
    </row>
    <row r="3">
      <c r="A3" t="inlineStr">
        <is>
          <t>Road quote Rs per tonne-km (YOUR NUMBER)</t>
        </is>
      </c>
      <c r="B3" s="6" t="n">
        <v>5</v>
      </c>
      <c r="C3" t="inlineStr">
        <is>
          <t>Aman, chat 2026-10-12: approx Rs 5 per tonne per km (approximate, not a written quote). Clear the cell to fall back to the illustrative rate.</t>
        </is>
      </c>
    </row>
    <row r="4">
      <c r="A4" t="inlineStr">
        <is>
          <t>Illustrative road Rs per tonne-km</t>
        </is>
      </c>
      <c r="B4" t="n">
        <v>2.75</v>
      </c>
      <c r="C4" t="inlineStr">
        <is>
          <t>Midpoint of an indicative Rs 2.0-3.5 range from general truck rates. NOT a coal quote.</t>
        </is>
      </c>
    </row>
    <row r="5">
      <c r="A5" t="inlineStr">
        <is>
          <t>Road rate used</t>
        </is>
      </c>
      <c r="B5">
        <f>IF(ISNUMBER(B3),B3,B4)</f>
        <v/>
      </c>
    </row>
    <row r="6">
      <c r="A6" t="inlineStr">
        <is>
          <t>Rate status</t>
        </is>
      </c>
      <c r="B6" s="6">
        <f>IF(ISNUMBER(B3),"Your quote","ILLUSTRATIVE - replace with your quote")</f>
        <v/>
      </c>
    </row>
    <row r="7">
      <c r="A7" t="inlineStr">
        <is>
          <t>Road km = straight-line x</t>
        </is>
      </c>
      <c r="B7" s="6" t="n">
        <v>1.3</v>
      </c>
      <c r="C7" t="inlineStr">
        <is>
          <t>Typical road winding factor [UNVERIFIED].</t>
        </is>
      </c>
    </row>
    <row r="8">
      <c r="A8" t="inlineStr">
        <is>
          <t>Rail km = straight-line x</t>
        </is>
      </c>
      <c r="B8" s="6" t="n">
        <v>1.2</v>
      </c>
      <c r="C8" t="inlineStr">
        <is>
          <t>Typical rail winding factor [UNVERIFIED]. FOIS charges on railway chargeable distance.</t>
        </is>
      </c>
    </row>
    <row r="9">
      <c r="A9" t="inlineStr">
        <is>
          <t>Loading + unloading Rs per tonne (per handling)</t>
        </is>
      </c>
      <c r="B9" s="6" t="n"/>
      <c r="C9" t="inlineStr">
        <is>
          <t>Blank counts as 0. Rail adds one extra handling at the plant end.</t>
        </is>
      </c>
    </row>
    <row r="10">
      <c r="A10" t="inlineStr">
        <is>
          <t>GST on freight %</t>
        </is>
      </c>
      <c r="B10" s="6" t="n">
        <v>5</v>
      </c>
      <c r="C10" t="inlineStr">
        <is>
          <t>Per FOIS calculator note for rail; same applied to road.</t>
        </is>
      </c>
    </row>
    <row r="11">
      <c r="A11" t="inlineStr">
        <is>
          <t>Take GST credit? (Y/N)</t>
        </is>
      </c>
      <c r="B11" s="6" t="inlineStr">
        <is>
          <t>N</t>
        </is>
      </c>
      <c r="C11" t="inlineStr">
        <is>
          <t>Y removes GST from the cost.</t>
        </is>
      </c>
    </row>
    <row r="12">
      <c r="A12" t="inlineStr">
        <is>
          <t>Minimum road Rs per tonne</t>
        </is>
      </c>
      <c r="B12" s="6" t="n"/>
      <c r="C12" t="inlineStr">
        <is>
          <t>Blank = no minimum.</t>
        </is>
      </c>
    </row>
    <row r="13">
      <c r="A13" t="inlineStr">
        <is>
          <t>Minimum haul km</t>
        </is>
      </c>
      <c r="B13" s="6" t="n">
        <v>25</v>
      </c>
      <c r="C13" t="inlineStr">
        <is>
          <t>Same-district tenders show 0 km straight-line; this floor keeps the cost above zero [UNVERIFIED].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32" customWidth="1" min="3" max="3"/>
  </cols>
  <sheetData>
    <row r="1">
      <c r="A1" s="5" t="inlineStr">
        <is>
          <t>From km</t>
        </is>
      </c>
      <c r="B1" s="5" t="inlineStr">
        <is>
          <t>To km</t>
        </is>
      </c>
      <c r="C1" s="5" t="inlineStr">
        <is>
          <t>Rs per tonne (base, train load)</t>
        </is>
      </c>
    </row>
    <row r="2">
      <c r="A2" t="n">
        <v>1</v>
      </c>
      <c r="B2" t="n">
        <v>100</v>
      </c>
      <c r="C2" t="n">
        <v>216</v>
      </c>
    </row>
    <row r="3">
      <c r="A3" t="n">
        <v>101</v>
      </c>
      <c r="B3" t="n">
        <v>125</v>
      </c>
      <c r="C3" t="n">
        <v>389.6</v>
      </c>
    </row>
    <row r="4">
      <c r="A4" t="n">
        <v>126</v>
      </c>
      <c r="B4" t="n">
        <v>150</v>
      </c>
      <c r="C4" t="n">
        <v>448.9</v>
      </c>
    </row>
    <row r="5">
      <c r="A5" t="n">
        <v>151</v>
      </c>
      <c r="B5" t="n">
        <v>175</v>
      </c>
      <c r="C5" t="n">
        <v>488.7</v>
      </c>
    </row>
    <row r="6">
      <c r="A6" t="n">
        <v>176</v>
      </c>
      <c r="B6" t="n">
        <v>200</v>
      </c>
      <c r="C6" t="n">
        <v>532.2</v>
      </c>
    </row>
    <row r="7">
      <c r="A7" t="n">
        <v>201</v>
      </c>
      <c r="B7" t="n">
        <v>275</v>
      </c>
      <c r="C7" t="n">
        <v>672.5</v>
      </c>
    </row>
    <row r="8">
      <c r="A8" t="n">
        <v>276</v>
      </c>
      <c r="B8" t="n">
        <v>350</v>
      </c>
      <c r="C8" t="n">
        <v>797.2</v>
      </c>
    </row>
    <row r="9">
      <c r="A9" t="n">
        <v>351</v>
      </c>
      <c r="B9" t="n">
        <v>425</v>
      </c>
      <c r="C9" t="n">
        <v>926</v>
      </c>
    </row>
    <row r="10">
      <c r="A10" t="n">
        <v>426</v>
      </c>
      <c r="B10" t="n">
        <v>500</v>
      </c>
      <c r="C10" t="n">
        <v>1054.7</v>
      </c>
    </row>
    <row r="11">
      <c r="A11" t="n">
        <v>501</v>
      </c>
      <c r="B11" t="n">
        <v>600</v>
      </c>
      <c r="C11" t="n">
        <v>1228</v>
      </c>
    </row>
    <row r="12">
      <c r="A12" t="n">
        <v>601</v>
      </c>
      <c r="B12" t="n">
        <v>700</v>
      </c>
      <c r="C12" t="n">
        <v>1398.7</v>
      </c>
    </row>
    <row r="13">
      <c r="A13" t="n">
        <v>701</v>
      </c>
      <c r="B13" t="n">
        <v>730</v>
      </c>
      <c r="C13" t="n">
        <v>1435.6</v>
      </c>
    </row>
    <row r="14">
      <c r="A14" t="n">
        <v>731</v>
      </c>
      <c r="B14" t="n">
        <v>760</v>
      </c>
      <c r="C14" t="n">
        <v>1484</v>
      </c>
    </row>
    <row r="15">
      <c r="A15" t="n">
        <v>761</v>
      </c>
      <c r="B15" t="n">
        <v>790</v>
      </c>
      <c r="C15" t="n">
        <v>1537.9</v>
      </c>
    </row>
    <row r="16">
      <c r="A16" t="n">
        <v>791</v>
      </c>
      <c r="B16" t="n">
        <v>820</v>
      </c>
      <c r="C16" t="n">
        <v>1586.7</v>
      </c>
    </row>
    <row r="17">
      <c r="A17" t="n">
        <v>821</v>
      </c>
      <c r="B17" t="n">
        <v>850</v>
      </c>
      <c r="C17" t="n">
        <v>1640.3</v>
      </c>
    </row>
    <row r="18">
      <c r="A18" t="n">
        <v>851</v>
      </c>
      <c r="B18" t="n">
        <v>880</v>
      </c>
      <c r="C18" t="n">
        <v>1688.6</v>
      </c>
    </row>
    <row r="19">
      <c r="A19" t="n">
        <v>881</v>
      </c>
      <c r="B19" t="n">
        <v>910</v>
      </c>
      <c r="C19" t="n">
        <v>1737</v>
      </c>
    </row>
    <row r="20">
      <c r="A20" t="n">
        <v>911</v>
      </c>
      <c r="B20" t="n">
        <v>940</v>
      </c>
      <c r="C20" t="n">
        <v>1790.2</v>
      </c>
    </row>
    <row r="21">
      <c r="A21" t="n">
        <v>941</v>
      </c>
      <c r="B21" t="n">
        <v>970</v>
      </c>
      <c r="C21" t="n">
        <v>1838.6</v>
      </c>
    </row>
    <row r="22">
      <c r="A22" t="n">
        <v>971</v>
      </c>
      <c r="B22" t="n">
        <v>1000</v>
      </c>
      <c r="C22" t="n">
        <v>1891.8</v>
      </c>
    </row>
    <row r="24">
      <c r="A24" t="inlineStr">
        <is>
          <t>FOIS rate class 145A train load, base tariff, read 2026-10-12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3" t="inlineStr">
        <is>
          <t>Group</t>
        </is>
      </c>
      <c r="B1" s="3" t="inlineStr">
        <is>
          <t>Competitor</t>
        </is>
      </c>
      <c r="C1" s="3" t="inlineStr">
        <is>
          <t>Tenders bid (export)</t>
        </is>
      </c>
      <c r="D1" s="3" t="inlineStr">
        <is>
          <t>Wins (export)</t>
        </is>
      </c>
      <c r="E1" s="3" t="inlineStr">
        <is>
          <t>Won Rs Cr (export)</t>
        </is>
      </c>
      <c r="F1" s="3" t="inlineStr">
        <is>
          <t>Wins in this sheet</t>
        </is>
      </c>
      <c r="G1" s="3" t="inlineStr">
        <is>
          <t>Wins within 300 km of Raigarh</t>
        </is>
      </c>
    </row>
    <row r="2">
      <c r="A2" t="inlineStr">
        <is>
          <t>User's 15</t>
        </is>
      </c>
      <c r="B2" t="inlineStr">
        <is>
          <t>Godavari Commodities</t>
        </is>
      </c>
      <c r="C2" t="n">
        <v>60</v>
      </c>
      <c r="D2" t="n">
        <v>4</v>
      </c>
      <c r="E2" t="n">
        <v>282.37</v>
      </c>
      <c r="F2">
        <f>COUNTIF(Master!$K$2:$K$316,"*"&amp;IFERROR(LEFT(B2,FIND(" /",B2)-1),B2)&amp;"*")</f>
        <v/>
      </c>
      <c r="G2">
        <f>COUNTIFS(Master!$K$2:$K$316,"*"&amp;IFERROR(LEFT(B2,FIND(" /",B2)-1),B2)&amp;"*",Master!$O$2:$O$316,"&lt;=300")</f>
        <v/>
      </c>
    </row>
    <row r="3">
      <c r="A3" t="inlineStr">
        <is>
          <t>Other (recommended)</t>
        </is>
      </c>
      <c r="B3" t="inlineStr">
        <is>
          <t>G K Associates</t>
        </is>
      </c>
      <c r="C3" t="n">
        <v>40</v>
      </c>
      <c r="D3" t="n">
        <v>5</v>
      </c>
      <c r="E3" t="n">
        <v>374.77</v>
      </c>
      <c r="F3">
        <f>COUNTIF(Master!$K$2:$K$316,"*"&amp;IFERROR(LEFT(B3,FIND(" /",B3)-1),B3)&amp;"*")</f>
        <v/>
      </c>
      <c r="G3">
        <f>COUNTIFS(Master!$K$2:$K$316,"*"&amp;IFERROR(LEFT(B3,FIND(" /",B3)-1),B3)&amp;"*",Master!$O$2:$O$316,"&lt;=300")</f>
        <v/>
      </c>
    </row>
    <row r="4">
      <c r="A4" t="inlineStr">
        <is>
          <t>User's 15</t>
        </is>
      </c>
      <c r="B4" t="inlineStr">
        <is>
          <t>Mohit Minerals</t>
        </is>
      </c>
      <c r="C4" t="n">
        <v>24</v>
      </c>
      <c r="D4" t="n">
        <v>5</v>
      </c>
      <c r="E4" t="n">
        <v>793.62</v>
      </c>
      <c r="F4">
        <f>COUNTIF(Master!$K$2:$K$316,"*"&amp;IFERROR(LEFT(B4,FIND(" /",B4)-1),B4)&amp;"*")</f>
        <v/>
      </c>
      <c r="G4">
        <f>COUNTIFS(Master!$K$2:$K$316,"*"&amp;IFERROR(LEFT(B4,FIND(" /",B4)-1),B4)&amp;"*",Master!$O$2:$O$316,"&lt;=300")</f>
        <v/>
      </c>
    </row>
    <row r="5">
      <c r="A5" t="inlineStr">
        <is>
          <t>User's 15</t>
        </is>
      </c>
      <c r="B5" t="inlineStr">
        <is>
          <t>Anoop Road Carriers</t>
        </is>
      </c>
      <c r="C5" t="n">
        <v>19</v>
      </c>
      <c r="D5" t="n">
        <v>0</v>
      </c>
      <c r="E5" t="n">
        <v>0</v>
      </c>
      <c r="F5">
        <f>COUNTIF(Master!$K$2:$K$316,"*"&amp;IFERROR(LEFT(B5,FIND(" /",B5)-1),B5)&amp;"*")</f>
        <v/>
      </c>
      <c r="G5">
        <f>COUNTIFS(Master!$K$2:$K$316,"*"&amp;IFERROR(LEFT(B5,FIND(" /",B5)-1),B5)&amp;"*",Master!$O$2:$O$316,"&lt;=300")</f>
        <v/>
      </c>
    </row>
    <row r="6">
      <c r="A6" t="inlineStr">
        <is>
          <t>Other (recommended)</t>
        </is>
      </c>
      <c r="B6" t="inlineStr">
        <is>
          <t>Nkas Services</t>
        </is>
      </c>
      <c r="C6" t="n">
        <v>19</v>
      </c>
      <c r="D6" t="n">
        <v>0</v>
      </c>
      <c r="E6" t="n">
        <v>0</v>
      </c>
      <c r="F6">
        <f>COUNTIF(Master!$K$2:$K$316,"*"&amp;IFERROR(LEFT(B6,FIND(" /",B6)-1),B6)&amp;"*")</f>
        <v/>
      </c>
      <c r="G6">
        <f>COUNTIFS(Master!$K$2:$K$316,"*"&amp;IFERROR(LEFT(B6,FIND(" /",B6)-1),B6)&amp;"*",Master!$O$2:$O$316,"&lt;=300")</f>
        <v/>
      </c>
    </row>
    <row r="7">
      <c r="A7" t="inlineStr">
        <is>
          <t>Other (recommended)</t>
        </is>
      </c>
      <c r="B7" t="inlineStr">
        <is>
          <t>Chandan Kumar Singh</t>
        </is>
      </c>
      <c r="C7" t="n">
        <v>15</v>
      </c>
      <c r="D7" t="n">
        <v>4</v>
      </c>
      <c r="E7" t="n">
        <v>11.95</v>
      </c>
      <c r="F7">
        <f>COUNTIF(Master!$K$2:$K$316,"*"&amp;IFERROR(LEFT(B7,FIND(" /",B7)-1),B7)&amp;"*")</f>
        <v/>
      </c>
      <c r="G7">
        <f>COUNTIFS(Master!$K$2:$K$316,"*"&amp;IFERROR(LEFT(B7,FIND(" /",B7)-1),B7)&amp;"*",Master!$O$2:$O$316,"&lt;=300")</f>
        <v/>
      </c>
    </row>
    <row r="8">
      <c r="A8" t="inlineStr">
        <is>
          <t>Other (recommended)</t>
        </is>
      </c>
      <c r="B8" t="inlineStr">
        <is>
          <t>Sangita Sales</t>
        </is>
      </c>
      <c r="C8" t="n">
        <v>15</v>
      </c>
      <c r="D8" t="n">
        <v>1</v>
      </c>
      <c r="E8" t="n">
        <v>1.16</v>
      </c>
      <c r="F8">
        <f>COUNTIF(Master!$K$2:$K$316,"*"&amp;IFERROR(LEFT(B8,FIND(" /",B8)-1),B8)&amp;"*")</f>
        <v/>
      </c>
      <c r="G8">
        <f>COUNTIFS(Master!$K$2:$K$316,"*"&amp;IFERROR(LEFT(B8,FIND(" /",B8)-1),B8)&amp;"*",Master!$O$2:$O$316,"&lt;=300")</f>
        <v/>
      </c>
    </row>
    <row r="9">
      <c r="A9" t="inlineStr">
        <is>
          <t>Other (recommended)</t>
        </is>
      </c>
      <c r="B9" t="inlineStr">
        <is>
          <t>Bharat Road Carrier</t>
        </is>
      </c>
      <c r="C9" t="n">
        <v>14</v>
      </c>
      <c r="D9" t="n">
        <v>3</v>
      </c>
      <c r="E9" t="n">
        <v>16.67</v>
      </c>
      <c r="F9">
        <f>COUNTIF(Master!$K$2:$K$316,"*"&amp;IFERROR(LEFT(B9,FIND(" /",B9)-1),B9)&amp;"*")</f>
        <v/>
      </c>
      <c r="G9">
        <f>COUNTIFS(Master!$K$2:$K$316,"*"&amp;IFERROR(LEFT(B9,FIND(" /",B9)-1),B9)&amp;"*",Master!$O$2:$O$316,"&lt;=300")</f>
        <v/>
      </c>
    </row>
    <row r="10">
      <c r="A10" t="inlineStr">
        <is>
          <t>Other (recommended)</t>
        </is>
      </c>
      <c r="B10" t="inlineStr">
        <is>
          <t>Saikrupa Coal Supplier</t>
        </is>
      </c>
      <c r="C10" t="n">
        <v>14</v>
      </c>
      <c r="D10" t="n">
        <v>2</v>
      </c>
      <c r="E10" t="n">
        <v>34.97</v>
      </c>
      <c r="F10">
        <f>COUNTIF(Master!$K$2:$K$316,"*"&amp;IFERROR(LEFT(B10,FIND(" /",B10)-1),B10)&amp;"*")</f>
        <v/>
      </c>
      <c r="G10">
        <f>COUNTIFS(Master!$K$2:$K$316,"*"&amp;IFERROR(LEFT(B10,FIND(" /",B10)-1),B10)&amp;"*",Master!$O$2:$O$316,"&lt;=300")</f>
        <v/>
      </c>
    </row>
    <row r="11">
      <c r="A11" t="inlineStr">
        <is>
          <t>Tender247 shortlist</t>
        </is>
      </c>
      <c r="B11" t="inlineStr">
        <is>
          <t>United Coal Carriers</t>
        </is>
      </c>
      <c r="C11" t="n">
        <v>14</v>
      </c>
      <c r="D11" t="n">
        <v>4</v>
      </c>
      <c r="E11" t="n">
        <v>4.23</v>
      </c>
      <c r="F11">
        <f>COUNTIF(Master!$K$2:$K$316,"*"&amp;IFERROR(LEFT(B11,FIND(" /",B11)-1),B11)&amp;"*")</f>
        <v/>
      </c>
      <c r="G11">
        <f>COUNTIFS(Master!$K$2:$K$316,"*"&amp;IFERROR(LEFT(B11,FIND(" /",B11)-1),B11)&amp;"*",Master!$O$2:$O$316,"&lt;=300")</f>
        <v/>
      </c>
    </row>
    <row r="12">
      <c r="A12" t="inlineStr">
        <is>
          <t>User's 15</t>
        </is>
      </c>
      <c r="B12" t="inlineStr">
        <is>
          <t>Indermani / Indramani</t>
        </is>
      </c>
      <c r="C12" t="n">
        <v>12</v>
      </c>
      <c r="D12" t="n">
        <v>2</v>
      </c>
      <c r="E12" t="n">
        <v>512.64</v>
      </c>
      <c r="F12">
        <f>COUNTIF(Master!$K$2:$K$316,"*"&amp;IFERROR(LEFT(B12,FIND(" /",B12)-1),B12)&amp;"*")</f>
        <v/>
      </c>
      <c r="G12">
        <f>COUNTIFS(Master!$K$2:$K$316,"*"&amp;IFERROR(LEFT(B12,FIND(" /",B12)-1),B12)&amp;"*",Master!$O$2:$O$316,"&lt;=300")</f>
        <v/>
      </c>
    </row>
    <row r="13">
      <c r="A13" t="inlineStr">
        <is>
          <t>Tender247 shortlist</t>
        </is>
      </c>
      <c r="B13" t="inlineStr">
        <is>
          <t>Caliber Mining and Logistics</t>
        </is>
      </c>
      <c r="C13" t="n">
        <v>8</v>
      </c>
      <c r="D13" t="n">
        <v>2</v>
      </c>
      <c r="E13" t="n">
        <v>2947.85</v>
      </c>
      <c r="F13">
        <f>COUNTIF(Master!$K$2:$K$316,"*"&amp;IFERROR(LEFT(B13,FIND(" /",B13)-1),B13)&amp;"*")</f>
        <v/>
      </c>
      <c r="G13">
        <f>COUNTIFS(Master!$K$2:$K$316,"*"&amp;IFERROR(LEFT(B13,FIND(" /",B13)-1),B13)&amp;"*",Master!$O$2:$O$316,"&lt;=300")</f>
        <v/>
      </c>
    </row>
    <row r="14">
      <c r="A14" t="inlineStr">
        <is>
          <t>Tender247 shortlist</t>
        </is>
      </c>
      <c r="B14" t="inlineStr">
        <is>
          <t>Orissa Stevedores</t>
        </is>
      </c>
      <c r="C14" t="n">
        <v>7</v>
      </c>
      <c r="D14" t="n">
        <v>0</v>
      </c>
      <c r="E14" t="n">
        <v>0</v>
      </c>
      <c r="F14">
        <f>COUNTIF(Master!$K$2:$K$316,"*"&amp;IFERROR(LEFT(B14,FIND(" /",B14)-1),B14)&amp;"*")</f>
        <v/>
      </c>
      <c r="G14">
        <f>COUNTIFS(Master!$K$2:$K$316,"*"&amp;IFERROR(LEFT(B14,FIND(" /",B14)-1),B14)&amp;"*",Master!$O$2:$O$316,"&lt;=300")</f>
        <v/>
      </c>
    </row>
    <row r="15">
      <c r="A15" t="inlineStr">
        <is>
          <t>Tender247 shortlist</t>
        </is>
      </c>
      <c r="B15" t="inlineStr">
        <is>
          <t>Krishna Infrastructure</t>
        </is>
      </c>
      <c r="C15" t="n">
        <v>5</v>
      </c>
      <c r="D15" t="n">
        <v>2</v>
      </c>
      <c r="E15" t="n">
        <v>176.1</v>
      </c>
      <c r="F15">
        <f>COUNTIF(Master!$K$2:$K$316,"*"&amp;IFERROR(LEFT(B15,FIND(" /",B15)-1),B15)&amp;"*")</f>
        <v/>
      </c>
      <c r="G15">
        <f>COUNTIFS(Master!$K$2:$K$316,"*"&amp;IFERROR(LEFT(B15,FIND(" /",B15)-1),B15)&amp;"*",Master!$O$2:$O$316,"&lt;=300")</f>
        <v/>
      </c>
    </row>
    <row r="16">
      <c r="A16" t="inlineStr">
        <is>
          <t>Tender247 shortlist</t>
        </is>
      </c>
      <c r="B16" t="inlineStr">
        <is>
          <t>Tirupati Minerals</t>
        </is>
      </c>
      <c r="C16" t="n">
        <v>5</v>
      </c>
      <c r="D16" t="n">
        <v>0</v>
      </c>
      <c r="E16" t="n">
        <v>0</v>
      </c>
      <c r="F16">
        <f>COUNTIF(Master!$K$2:$K$316,"*"&amp;IFERROR(LEFT(B16,FIND(" /",B16)-1),B16)&amp;"*")</f>
        <v/>
      </c>
      <c r="G16">
        <f>COUNTIFS(Master!$K$2:$K$316,"*"&amp;IFERROR(LEFT(B16,FIND(" /",B16)-1),B16)&amp;"*",Master!$O$2:$O$316,"&lt;=300")</f>
        <v/>
      </c>
    </row>
    <row r="17">
      <c r="A17" t="inlineStr">
        <is>
          <t>User's 15</t>
        </is>
      </c>
      <c r="B17" t="inlineStr">
        <is>
          <t>Sendoz Impex</t>
        </is>
      </c>
      <c r="C17" t="n">
        <v>4</v>
      </c>
      <c r="D17" t="n">
        <v>0</v>
      </c>
      <c r="E17" t="n">
        <v>0</v>
      </c>
      <c r="F17">
        <f>COUNTIF(Master!$K$2:$K$316,"*"&amp;IFERROR(LEFT(B17,FIND(" /",B17)-1),B17)&amp;"*")</f>
        <v/>
      </c>
      <c r="G17">
        <f>COUNTIFS(Master!$K$2:$K$316,"*"&amp;IFERROR(LEFT(B17,FIND(" /",B17)-1),B17)&amp;"*",Master!$O$2:$O$316,"&lt;=300")</f>
        <v/>
      </c>
    </row>
    <row r="18">
      <c r="A18" t="inlineStr">
        <is>
          <t>Other (recommended)</t>
        </is>
      </c>
      <c r="B18" t="inlineStr">
        <is>
          <t>Swami Fuels</t>
        </is>
      </c>
      <c r="C18" t="n">
        <v>3</v>
      </c>
      <c r="D18" t="n">
        <v>1</v>
      </c>
      <c r="E18" t="n">
        <v>6.68</v>
      </c>
      <c r="F18">
        <f>COUNTIF(Master!$K$2:$K$316,"*"&amp;IFERROR(LEFT(B18,FIND(" /",B18)-1),B18)&amp;"*")</f>
        <v/>
      </c>
      <c r="G18">
        <f>COUNTIFS(Master!$K$2:$K$316,"*"&amp;IFERROR(LEFT(B18,FIND(" /",B18)-1),B18)&amp;"*",Master!$O$2:$O$316,"&lt;=300")</f>
        <v/>
      </c>
    </row>
    <row r="19">
      <c r="A19" t="inlineStr">
        <is>
          <t>User's 15</t>
        </is>
      </c>
      <c r="B19" t="inlineStr">
        <is>
          <t>Advika Logistics</t>
        </is>
      </c>
      <c r="C19" t="n">
        <v>2</v>
      </c>
      <c r="D19" t="n">
        <v>0</v>
      </c>
      <c r="E19" t="n">
        <v>0</v>
      </c>
      <c r="F19">
        <f>COUNTIF(Master!$K$2:$K$316,"*"&amp;IFERROR(LEFT(B19,FIND(" /",B19)-1),B19)&amp;"*")</f>
        <v/>
      </c>
      <c r="G19">
        <f>COUNTIFS(Master!$K$2:$K$316,"*"&amp;IFERROR(LEFT(B19,FIND(" /",B19)-1),B19)&amp;"*",Master!$O$2:$O$316,"&lt;=300")</f>
        <v/>
      </c>
    </row>
    <row r="20">
      <c r="A20" t="inlineStr">
        <is>
          <t>User's +2</t>
        </is>
      </c>
      <c r="B20" t="inlineStr">
        <is>
          <t>Shah Coal</t>
        </is>
      </c>
      <c r="C20" t="n">
        <v>2</v>
      </c>
      <c r="D20" t="n">
        <v>0</v>
      </c>
      <c r="E20" t="n">
        <v>0</v>
      </c>
      <c r="F20">
        <f>COUNTIF(Master!$K$2:$K$316,"*"&amp;IFERROR(LEFT(B20,FIND(" /",B20)-1),B20)&amp;"*")</f>
        <v/>
      </c>
      <c r="G20">
        <f>COUNTIFS(Master!$K$2:$K$316,"*"&amp;IFERROR(LEFT(B20,FIND(" /",B20)-1),B20)&amp;"*",Master!$O$2:$O$316,"&lt;=300")</f>
        <v/>
      </c>
    </row>
    <row r="21">
      <c r="A21" t="inlineStr">
        <is>
          <t>Tender247 shortlist</t>
        </is>
      </c>
      <c r="B21" t="inlineStr">
        <is>
          <t>Vikas Coal and Minerals</t>
        </is>
      </c>
      <c r="C21" t="n">
        <v>2</v>
      </c>
      <c r="D21" t="n">
        <v>0</v>
      </c>
      <c r="E21" t="n">
        <v>0</v>
      </c>
      <c r="F21">
        <f>COUNTIF(Master!$K$2:$K$316,"*"&amp;IFERROR(LEFT(B21,FIND(" /",B21)-1),B21)&amp;"*")</f>
        <v/>
      </c>
      <c r="G21">
        <f>COUNTIFS(Master!$K$2:$K$316,"*"&amp;IFERROR(LEFT(B21,FIND(" /",B21)-1),B21)&amp;"*",Master!$O$2:$O$316,"&lt;=300")</f>
        <v/>
      </c>
    </row>
    <row r="22">
      <c r="A22" t="inlineStr">
        <is>
          <t>User's 15</t>
        </is>
      </c>
      <c r="B22" t="inlineStr">
        <is>
          <t>Omax</t>
        </is>
      </c>
      <c r="C22" t="n">
        <v>1</v>
      </c>
      <c r="D22" t="n">
        <v>0</v>
      </c>
      <c r="E22" t="n">
        <v>0</v>
      </c>
      <c r="F22">
        <f>COUNTIF(Master!$K$2:$K$316,"*"&amp;IFERROR(LEFT(B22,FIND(" /",B22)-1),B22)&amp;"*")</f>
        <v/>
      </c>
      <c r="G22">
        <f>COUNTIFS(Master!$K$2:$K$316,"*"&amp;IFERROR(LEFT(B22,FIND(" /",B22)-1),B22)&amp;"*",Master!$O$2:$O$316,"&lt;=300")</f>
        <v/>
      </c>
    </row>
    <row r="23">
      <c r="A23" t="inlineStr">
        <is>
          <t>Tender247 shortlist</t>
        </is>
      </c>
      <c r="B23" t="inlineStr">
        <is>
          <t>Vedvyas Logistic</t>
        </is>
      </c>
      <c r="C23" t="n">
        <v>1</v>
      </c>
      <c r="D23" t="n">
        <v>0</v>
      </c>
      <c r="E23" t="n">
        <v>0</v>
      </c>
      <c r="F23">
        <f>COUNTIF(Master!$K$2:$K$316,"*"&amp;IFERROR(LEFT(B23,FIND(" /",B23)-1),B23)&amp;"*")</f>
        <v/>
      </c>
      <c r="G23">
        <f>COUNTIFS(Master!$K$2:$K$316,"*"&amp;IFERROR(LEFT(B23,FIND(" /",B23)-1),B23)&amp;"*",Master!$O$2:$O$316,"&lt;=300")</f>
        <v/>
      </c>
    </row>
    <row r="25">
      <c r="A25" t="inlineStr">
        <is>
          <t>Names must match the Tender247 winner spelling; 'Wins in this sheet' matches by name; it can differ from the export when spellings differ or a tender has no district.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2026-10-12T04:52:05Z</dcterms:created>
  <dcterms:modified xsi:type="dcterms:W3CDTF">2026-10-12T04:52:05Z</dcterms:modified>
</cp:coreProperties>
</file>