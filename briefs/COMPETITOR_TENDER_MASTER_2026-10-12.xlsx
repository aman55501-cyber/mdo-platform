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aster" sheetId="2" state="visible" r:id="rId2"/>
    <sheet name="Edge summary" sheetId="3" state="visible" r:id="rId3"/>
    <sheet name="Settings" sheetId="4" state="visible" r:id="rId4"/>
    <sheet name="FOIS 145A" sheetId="5" state="visible" r:id="rId5"/>
    <sheet name="Competitors" sheetId="6" state="visible" r:id="rId6"/>
  </sheets>
  <definedNames>
    <definedName name="_xlnm._FilterDatabase" localSheetId="1" hidden="1">'Master'!$A$1:$Y$321</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sz val="14"/>
    </font>
    <font>
      <sz val="11"/>
    </font>
    <font>
      <b val="1"/>
      <color rgb="00FFFFFF"/>
    </font>
    <font>
      <b val="1"/>
    </font>
  </fonts>
  <fills count="6">
    <fill>
      <patternFill/>
    </fill>
    <fill>
      <patternFill patternType="gray125"/>
    </fill>
    <fill>
      <patternFill patternType="solid">
        <fgColor rgb="001F3A5F"/>
      </patternFill>
    </fill>
    <fill>
      <patternFill patternType="solid">
        <fgColor rgb="00FFF2CC"/>
      </patternFill>
    </fill>
    <fill>
      <patternFill patternType="solid">
        <fgColor rgb="00D9EAD3"/>
      </patternFill>
    </fill>
    <fill>
      <patternFill patternType="solid">
        <fgColor rgb="00FCE5C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0" fillId="4" borderId="0" pivotButton="0" quotePrefix="0" xfId="0"/>
    <xf numFmtId="164" fontId="0" fillId="0" borderId="0" pivotButton="0" quotePrefix="0" xfId="0"/>
    <xf numFmtId="3" fontId="0" fillId="0" borderId="0" pivotButton="0" quotePrefix="0" xfId="0"/>
    <xf numFmtId="0" fontId="0" fillId="5" borderId="0" pivotButton="0" quotePrefix="0" xfId="0"/>
    <xf numFmtId="0" fontId="3" fillId="2" borderId="0" pivotButton="0" quotePrefix="0" xfId="0"/>
    <xf numFmtId="0" fontId="4"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50" customWidth="1" min="1" max="1"/>
  </cols>
  <sheetData>
    <row r="1">
      <c r="A1" s="1" t="inlineStr">
        <is>
          <t>Competitor tender master: edge, road and rail cost</t>
        </is>
      </c>
    </row>
    <row r="2">
      <c r="A2" s="2" t="inlineStr">
        <is>
          <t>EDGE RULE (yours): VWLR has a PFT siding with 3 rail lines. A tender is an edge only if the MINE or the PLANT is within 150 km of VWLR. Everything else is context on rivals.</t>
        </is>
      </c>
    </row>
    <row r="3">
      <c r="A3" s="2" t="inlineStr">
        <is>
          <t>Edge = Yes (an end within 150 km straight-line) | Borderline (150-180 km, about 150 km by road) | No (known ends all far) | Unknown (an end could not be identified from the title).</t>
        </is>
      </c>
    </row>
    <row r="4">
      <c r="A4" s="2" t="inlineStr">
        <is>
          <t>Locations: mine and plant are matched from the tender title to the nearest listed town. Town coordinates were geocoded on 2026-10-12; the exact mine site is approximate [UNVERIFIED]. Reference point is Raigarh town until you name your siding's railway station (Settings).</t>
        </is>
      </c>
    </row>
    <row r="5">
      <c r="A5" s="2" t="inlineStr">
        <is>
          <t>Costs per tonne: ROAD = near-end km x road factor x your road rate (+GST, +handling). RAIL = FOIS class 145A base tariff for the far-end km when that end is known, plus GST. FOIS excludes surcharges and siding charges. No tonnage is in the export, so no per-contract figures.</t>
        </is>
      </c>
    </row>
    <row r="6">
      <c r="A6" s="2" t="inlineStr">
        <is>
          <t>Winner's own cost is unknown: this sheet shows where freight could have been your lever, not who would have won.</t>
        </is>
      </c>
    </row>
    <row r="7">
      <c r="A7" s="2" t="inlineStr">
        <is>
          <t>Yellow cells are inputs. Everything else is a formula.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21"/>
  <sheetViews>
    <sheetView workbookViewId="0">
      <pane xSplit="10" ySplit="1" topLeftCell="K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30" customWidth="1" min="3" max="3"/>
    <col width="8" customWidth="1" min="4" max="4"/>
    <col width="30" customWidth="1" min="5" max="5"/>
    <col width="8" customWidth="1" min="6" max="6"/>
    <col width="9" customWidth="1" min="7" max="7"/>
    <col width="10" customWidth="1" min="8" max="8"/>
    <col width="18" customWidth="1" min="9" max="9"/>
    <col width="60" customWidth="1" min="10" max="10"/>
    <col width="22" customWidth="1" min="11" max="11"/>
    <col width="30" customWidth="1" min="12" max="12"/>
    <col width="14" customWidth="1" min="13" max="13"/>
    <col width="14" customWidth="1" min="14" max="14"/>
    <col width="11" customWidth="1" min="15" max="15"/>
    <col width="10" customWidth="1" min="16" max="16"/>
    <col width="26" customWidth="1" min="17" max="17"/>
    <col width="34" customWidth="1" min="18" max="18"/>
    <col width="12" customWidth="1" min="19" max="19"/>
    <col width="10" customWidth="1" min="20" max="20"/>
    <col width="14" customWidth="1" min="21" max="21"/>
    <col width="9" customWidth="1" min="22" max="22"/>
    <col width="16" customWidth="1" min="23" max="23"/>
    <col width="14" customWidth="1" min="24" max="24"/>
    <col width="30" customWidth="1" min="25" max="25"/>
  </cols>
  <sheetData>
    <row r="1">
      <c r="A1" s="3" t="inlineStr">
        <is>
          <t>Edge</t>
        </is>
      </c>
      <c r="B1" s="3" t="inlineStr">
        <is>
          <t>Basis</t>
        </is>
      </c>
      <c r="C1" s="3" t="inlineStr">
        <is>
          <t>Mine (matched)</t>
        </is>
      </c>
      <c r="D1" s="3" t="inlineStr">
        <is>
          <t>Mine km</t>
        </is>
      </c>
      <c r="E1" s="3" t="inlineStr">
        <is>
          <t>Plant / siding (matched)</t>
        </is>
      </c>
      <c r="F1" s="3" t="inlineStr">
        <is>
          <t>Plant km</t>
        </is>
      </c>
      <c r="G1" s="3" t="inlineStr">
        <is>
          <t>Nearest end km</t>
        </is>
      </c>
      <c r="H1" s="3" t="inlineStr">
        <is>
          <t>TR247 ID</t>
        </is>
      </c>
      <c r="I1" s="3" t="inlineStr">
        <is>
          <t>Tender ref</t>
        </is>
      </c>
      <c r="J1" s="3" t="inlineStr">
        <is>
          <t>Title</t>
        </is>
      </c>
      <c r="K1" s="3" t="inlineStr">
        <is>
          <t>Category</t>
        </is>
      </c>
      <c r="L1" s="3" t="inlineStr">
        <is>
          <t>Buyer</t>
        </is>
      </c>
      <c r="M1" s="3" t="inlineStr">
        <is>
          <t>State</t>
        </is>
      </c>
      <c r="N1" s="3" t="inlineStr">
        <is>
          <t>Tender city</t>
        </is>
      </c>
      <c r="O1" s="3" t="inlineStr">
        <is>
          <t>Close date</t>
        </is>
      </c>
      <c r="P1" s="3" t="inlineStr">
        <is>
          <t>Stage</t>
        </is>
      </c>
      <c r="Q1" s="3" t="inlineStr">
        <is>
          <t>Winner</t>
        </is>
      </c>
      <c r="R1" s="3" t="inlineStr">
        <is>
          <t>Tracked rivals bidding</t>
        </is>
      </c>
      <c r="S1" s="3" t="inlineStr">
        <is>
          <t>Bidders</t>
        </is>
      </c>
      <c r="T1" s="3" t="inlineStr">
        <is>
          <t>Contract Rs Cr</t>
        </is>
      </c>
      <c r="U1" s="3" t="inlineStr">
        <is>
          <t>Road leg Rs/t (near end to your siding)</t>
        </is>
      </c>
      <c r="V1" s="3" t="inlineStr">
        <is>
          <t>Far-end km</t>
        </is>
      </c>
      <c r="W1" s="3" t="inlineStr">
        <is>
          <t>Rail leg Rs/t (your siding to far end, FOIS 145A)</t>
        </is>
      </c>
      <c r="X1" s="3" t="inlineStr">
        <is>
          <t>Indicative total Rs/t</t>
        </is>
      </c>
      <c r="Y1" s="3" t="inlineStr">
        <is>
          <t>Rate status</t>
        </is>
      </c>
    </row>
    <row r="2">
      <c r="A2" s="4" t="inlineStr">
        <is>
          <t>Yes</t>
        </is>
      </c>
      <c r="B2" t="inlineStr">
        <is>
          <t>mine = coal company's tender city; siding = same area</t>
        </is>
      </c>
      <c r="C2" t="inlineStr">
        <is>
          <t>Raigarh (tender city)</t>
        </is>
      </c>
      <c r="D2" t="n">
        <v>0</v>
      </c>
      <c r="E2" t="inlineStr">
        <is>
          <t>Raigarh (tender city)</t>
        </is>
      </c>
      <c r="F2" t="n">
        <v>0</v>
      </c>
      <c r="G2" t="n">
        <v>0</v>
      </c>
      <c r="H2" t="inlineStr">
        <is>
          <t>16341071</t>
        </is>
      </c>
      <c r="I2" t="inlineStr">
        <is>
          <t>GEM/2025/B/7003513</t>
        </is>
      </c>
      <c r="J2" t="inlineStr">
        <is>
          <t>handling service, hiring of pay loaders incorporatedfitted with weight sensors for mechanical transfer of crushed coal below100mm in to railway wagons all around the width of b..</t>
        </is>
      </c>
      <c r="K2" t="inlineStr">
        <is>
          <t>Loading / handling / crushing</t>
        </is>
      </c>
      <c r="L2" t="inlineStr">
        <is>
          <t>South Eastern Coalfields Limited</t>
        </is>
      </c>
      <c r="M2" t="inlineStr">
        <is>
          <t>Chhattisgarh</t>
        </is>
      </c>
      <c r="N2" t="inlineStr">
        <is>
          <t>Raigarh</t>
        </is>
      </c>
      <c r="O2" s="5" t="n">
        <v>46022</v>
      </c>
      <c r="P2" t="inlineStr">
        <is>
          <t>AOC</t>
        </is>
      </c>
      <c r="Q2" t="inlineStr">
        <is>
          <t>G K Associates</t>
        </is>
      </c>
      <c r="R2" t="inlineStr">
        <is>
          <t>G K Associates, Chandan Kumar Singh</t>
        </is>
      </c>
      <c r="S2" t="inlineStr">
        <is>
          <t>4 named / 4</t>
        </is>
      </c>
      <c r="T2" t="n">
        <v>5.39</v>
      </c>
      <c r="U2" s="6">
        <f>IF(ISNUMBER(G2),MAX(MAX(G2,Settings!$B$13)*Settings!$B$7*Settings!$B$5,IF(ISNUMBER(Settings!$B$12),Settings!$B$12,0))*(1+IF(Settings!$B$11="Y",0,Settings!$B$10/100))+N(Settings!$B$9),"")</f>
        <v/>
      </c>
      <c r="W2" s="6">
        <f>IF(ISNUMBER(V2),IF(V2*Settings!$B$8&gt;1000,"beyond table",IFERROR(LOOKUP(V2*Settings!$B$8,'FOIS 145A'!$A$2:$A$22,'FOIS 145A'!$C$2:$C$22)*(1+IF(Settings!$B$11="Y",0,Settings!$B$10/100)),"")),"")</f>
        <v/>
      </c>
      <c r="X2" s="6">
        <f>IF(AND(ISNUMBER(U2),ISNUMBER(W2)),U2+W2,"")</f>
        <v/>
      </c>
      <c r="Y2">
        <f>Settings!$B$6</f>
        <v/>
      </c>
    </row>
    <row r="3">
      <c r="A3" s="4" t="inlineStr">
        <is>
          <t>Yes</t>
        </is>
      </c>
      <c r="B3" t="inlineStr">
        <is>
          <t>mine = coal company's tender city; siding = same area</t>
        </is>
      </c>
      <c r="C3" t="inlineStr">
        <is>
          <t>Raigarh (tender city)</t>
        </is>
      </c>
      <c r="D3" t="n">
        <v>0</v>
      </c>
      <c r="E3" t="inlineStr">
        <is>
          <t>Raigarh (tender city)</t>
        </is>
      </c>
      <c r="F3" t="n">
        <v>0</v>
      </c>
      <c r="G3" t="n">
        <v>0</v>
      </c>
      <c r="H3" t="inlineStr">
        <is>
          <t>15858739</t>
        </is>
      </c>
      <c r="I3" t="inlineStr">
        <is>
          <t>GEM/2025/B/6353919</t>
        </is>
      </c>
      <c r="J3" t="inlineStr">
        <is>
          <t>handling ,transport and other mining services - percentagequote based - handling &amp; transport service, ob removal,coal extraction, composite work ob removal, loading andtransportation of coal , extract</t>
        </is>
      </c>
      <c r="K3" t="inlineStr">
        <is>
          <t>Mining services (OB / extraction)</t>
        </is>
      </c>
      <c r="L3" t="inlineStr">
        <is>
          <t>South Eastern Coalfields Limited</t>
        </is>
      </c>
      <c r="M3" t="inlineStr">
        <is>
          <t>Chhattisgarh</t>
        </is>
      </c>
      <c r="N3" t="inlineStr">
        <is>
          <t>Raigarh</t>
        </is>
      </c>
      <c r="O3" s="5" t="n">
        <v>45885</v>
      </c>
      <c r="P3" t="inlineStr">
        <is>
          <t>AOC</t>
        </is>
      </c>
      <c r="Q3" t="inlineStr">
        <is>
          <t xml:space="preserve">Sical Logistics Limited </t>
        </is>
      </c>
      <c r="R3" t="inlineStr">
        <is>
          <t>Caliber Mining and Logistics</t>
        </is>
      </c>
      <c r="S3" t="inlineStr">
        <is>
          <t>5 named / 25</t>
        </is>
      </c>
      <c r="T3" t="n">
        <v>4038.18</v>
      </c>
      <c r="U3" s="6">
        <f>IF(ISNUMBER(G3),MAX(MAX(G3,Settings!$B$13)*Settings!$B$7*Settings!$B$5,IF(ISNUMBER(Settings!$B$12),Settings!$B$12,0))*(1+IF(Settings!$B$11="Y",0,Settings!$B$10/100))+N(Settings!$B$9),"")</f>
        <v/>
      </c>
      <c r="W3" s="6">
        <f>IF(ISNUMBER(V3),IF(V3*Settings!$B$8&gt;1000,"beyond table",IFERROR(LOOKUP(V3*Settings!$B$8,'FOIS 145A'!$A$2:$A$22,'FOIS 145A'!$C$2:$C$22)*(1+IF(Settings!$B$11="Y",0,Settings!$B$10/100)),"")),"")</f>
        <v/>
      </c>
      <c r="X3" s="6">
        <f>IF(AND(ISNUMBER(U3),ISNUMBER(W3)),U3+W3,"")</f>
        <v/>
      </c>
      <c r="Y3">
        <f>Settings!$B$6</f>
        <v/>
      </c>
    </row>
    <row r="4">
      <c r="A4" s="4" t="inlineStr">
        <is>
          <t>Yes</t>
        </is>
      </c>
      <c r="B4" t="inlineStr">
        <is>
          <t>plant = tender city</t>
        </is>
      </c>
      <c r="C4" t="inlineStr"/>
      <c r="E4" t="inlineStr">
        <is>
          <t>Sundargarh district (IB Valley / Hemgir) (tender city)</t>
        </is>
      </c>
      <c r="F4" t="n">
        <v>32</v>
      </c>
      <c r="G4" t="n">
        <v>32</v>
      </c>
      <c r="H4" t="inlineStr">
        <is>
          <t>14060255</t>
        </is>
      </c>
      <c r="I4" t="inlineStr">
        <is>
          <t>GEM/2025/B/6194484</t>
        </is>
      </c>
      <c r="J4" t="inlineStr">
        <is>
          <t>domestic coal for ntpc</t>
        </is>
      </c>
      <c r="K4" t="inlineStr">
        <is>
          <t>Coal supply</t>
        </is>
      </c>
      <c r="L4" t="inlineStr">
        <is>
          <t>National Thermal Power Corporation Limited</t>
        </is>
      </c>
      <c r="M4" t="inlineStr">
        <is>
          <t>Orissa</t>
        </is>
      </c>
      <c r="N4" t="inlineStr">
        <is>
          <t>Sundergarh</t>
        </is>
      </c>
      <c r="O4" s="5" t="n">
        <v>45817</v>
      </c>
      <c r="P4" t="inlineStr">
        <is>
          <t>Financial</t>
        </is>
      </c>
      <c r="Q4" t="inlineStr">
        <is>
          <t>-</t>
        </is>
      </c>
      <c r="R4" t="inlineStr">
        <is>
          <t>Godavari Commodities, Sendoz Impex</t>
        </is>
      </c>
      <c r="S4" t="inlineStr">
        <is>
          <t>3 named / 3</t>
        </is>
      </c>
      <c r="U4" s="6">
        <f>IF(ISNUMBER(G4),MAX(MAX(G4,Settings!$B$13)*Settings!$B$7*Settings!$B$5,IF(ISNUMBER(Settings!$B$12),Settings!$B$12,0))*(1+IF(Settings!$B$11="Y",0,Settings!$B$10/100))+N(Settings!$B$9),"")</f>
        <v/>
      </c>
      <c r="W4" s="6">
        <f>IF(ISNUMBER(V4),IF(V4*Settings!$B$8&gt;1000,"beyond table",IFERROR(LOOKUP(V4*Settings!$B$8,'FOIS 145A'!$A$2:$A$22,'FOIS 145A'!$C$2:$C$22)*(1+IF(Settings!$B$11="Y",0,Settings!$B$10/100)),"")),"")</f>
        <v/>
      </c>
      <c r="X4" s="6">
        <f>IF(AND(ISNUMBER(U4),ISNUMBER(W4)),U4+W4,"")</f>
        <v/>
      </c>
      <c r="Y4">
        <f>Settings!$B$6</f>
        <v/>
      </c>
    </row>
    <row r="5">
      <c r="A5" s="4" t="inlineStr">
        <is>
          <t>Yes</t>
        </is>
      </c>
      <c r="B5" t="inlineStr">
        <is>
          <t>mine named in title; plant/siding named in title</t>
        </is>
      </c>
      <c r="C5" t="inlineStr">
        <is>
          <t>Hemgir / Manoharpur (Sundargarh)</t>
        </is>
      </c>
      <c r="D5" t="n">
        <v>32</v>
      </c>
      <c r="E5" t="inlineStr">
        <is>
          <t>Rourkela</t>
        </is>
      </c>
      <c r="F5" t="n">
        <v>156</v>
      </c>
      <c r="G5" t="n">
        <v>32</v>
      </c>
      <c r="H5" t="inlineStr">
        <is>
          <t>17865617</t>
        </is>
      </c>
      <c r="I5" t="inlineStr">
        <is>
          <t>GEM/2026/B/7514337</t>
        </is>
      </c>
      <c r="J5" t="inlineStr">
        <is>
          <t>transportation of coal from ocpl manoharpur mines to any privatepublic siding of railways and then loading into (boxn) ir wagons for onward transporatation to nspcl rourkela(hspg siding)</t>
        </is>
      </c>
      <c r="K5" t="inlineStr">
        <is>
          <t>Coal transport (RCR / siding)</t>
        </is>
      </c>
      <c r="L5" t="inlineStr">
        <is>
          <t>Ntpc-Sail Power Company Private Limited</t>
        </is>
      </c>
      <c r="M5" t="inlineStr">
        <is>
          <t>Orissa</t>
        </is>
      </c>
      <c r="N5" t="inlineStr">
        <is>
          <t>Rourkela</t>
        </is>
      </c>
      <c r="O5" s="5" t="n">
        <v>46196</v>
      </c>
      <c r="P5" t="inlineStr">
        <is>
          <t>Financial</t>
        </is>
      </c>
      <c r="Q5" t="inlineStr">
        <is>
          <t>-</t>
        </is>
      </c>
      <c r="R5" t="inlineStr">
        <is>
          <t>Anoop Road Carriers, Bharat Road Carrier, Godavari Commodities, Indermani / Indramani</t>
        </is>
      </c>
      <c r="S5" t="inlineStr">
        <is>
          <t>5 named / 11</t>
        </is>
      </c>
      <c r="U5" s="6">
        <f>IF(ISNUMBER(G5),MAX(MAX(G5,Settings!$B$13)*Settings!$B$7*Settings!$B$5,IF(ISNUMBER(Settings!$B$12),Settings!$B$12,0))*(1+IF(Settings!$B$11="Y",0,Settings!$B$10/100))+N(Settings!$B$9),"")</f>
        <v/>
      </c>
      <c r="V5" t="n">
        <v>156</v>
      </c>
      <c r="W5" s="6">
        <f>IF(ISNUMBER(V5),IF(V5*Settings!$B$8&gt;1000,"beyond table",IFERROR(LOOKUP(V5*Settings!$B$8,'FOIS 145A'!$A$2:$A$22,'FOIS 145A'!$C$2:$C$22)*(1+IF(Settings!$B$11="Y",0,Settings!$B$10/100)),"")),"")</f>
        <v/>
      </c>
      <c r="X5" s="6">
        <f>IF(AND(ISNUMBER(U5),ISNUMBER(W5)),U5+W5,"")</f>
        <v/>
      </c>
      <c r="Y5">
        <f>Settings!$B$6</f>
        <v/>
      </c>
    </row>
    <row r="6">
      <c r="A6" s="4" t="inlineStr">
        <is>
          <t>Yes</t>
        </is>
      </c>
      <c r="B6" t="inlineStr">
        <is>
          <t>mine = coal company's tender city; siding = same area</t>
        </is>
      </c>
      <c r="C6" t="inlineStr">
        <is>
          <t>Sundargarh district (IB Valley / Hemgir) (tender city)</t>
        </is>
      </c>
      <c r="D6" t="n">
        <v>32</v>
      </c>
      <c r="E6" t="inlineStr">
        <is>
          <t>Sundargarh district (IB Valley / Hemgir) (tender city)</t>
        </is>
      </c>
      <c r="F6" t="n">
        <v>32</v>
      </c>
      <c r="G6" t="n">
        <v>32</v>
      </c>
      <c r="H6" t="inlineStr">
        <is>
          <t>17284903</t>
        </is>
      </c>
      <c r="I6" t="inlineStr">
        <is>
          <t>GEM/2026/B/7448459</t>
        </is>
      </c>
      <c r="J6" t="inlineStr">
        <is>
          <t>hiring of payloaders and tippers for loading and transportation of coal from stock to siding</t>
        </is>
      </c>
      <c r="K6" t="inlineStr">
        <is>
          <t>Coal transport (RCR / siding)</t>
        </is>
      </c>
      <c r="L6" t="inlineStr">
        <is>
          <t>Mahanadi Coalfields Limited</t>
        </is>
      </c>
      <c r="M6" t="inlineStr">
        <is>
          <t>Orissa</t>
        </is>
      </c>
      <c r="N6" t="inlineStr">
        <is>
          <t>Sundergarh</t>
        </is>
      </c>
      <c r="O6" s="5" t="n">
        <v>46144</v>
      </c>
      <c r="P6" t="inlineStr">
        <is>
          <t>AOC</t>
        </is>
      </c>
      <c r="Q6" t="inlineStr">
        <is>
          <t>Jagshobha Logistics Llp</t>
        </is>
      </c>
      <c r="R6" t="inlineStr"/>
      <c r="S6" t="inlineStr">
        <is>
          <t>5 named / 7</t>
        </is>
      </c>
      <c r="T6" t="n">
        <v>2.07</v>
      </c>
      <c r="U6" s="6">
        <f>IF(ISNUMBER(G6),MAX(MAX(G6,Settings!$B$13)*Settings!$B$7*Settings!$B$5,IF(ISNUMBER(Settings!$B$12),Settings!$B$12,0))*(1+IF(Settings!$B$11="Y",0,Settings!$B$10/100))+N(Settings!$B$9),"")</f>
        <v/>
      </c>
      <c r="W6" s="6">
        <f>IF(ISNUMBER(V6),IF(V6*Settings!$B$8&gt;1000,"beyond table",IFERROR(LOOKUP(V6*Settings!$B$8,'FOIS 145A'!$A$2:$A$22,'FOIS 145A'!$C$2:$C$22)*(1+IF(Settings!$B$11="Y",0,Settings!$B$10/100)),"")),"")</f>
        <v/>
      </c>
      <c r="X6" s="6">
        <f>IF(AND(ISNUMBER(U6),ISNUMBER(W6)),U6+W6,"")</f>
        <v/>
      </c>
      <c r="Y6">
        <f>Settings!$B$6</f>
        <v/>
      </c>
    </row>
    <row r="7">
      <c r="A7" s="4" t="inlineStr">
        <is>
          <t>Yes</t>
        </is>
      </c>
      <c r="B7" t="inlineStr">
        <is>
          <t>mine = coal company's tender city; siding = same area</t>
        </is>
      </c>
      <c r="C7" t="inlineStr">
        <is>
          <t>Sundargarh district (IB Valley / Hemgir) (tender city)</t>
        </is>
      </c>
      <c r="D7" t="n">
        <v>32</v>
      </c>
      <c r="E7" t="inlineStr">
        <is>
          <t>Sundargarh district (IB Valley / Hemgir) (tender city)</t>
        </is>
      </c>
      <c r="F7" t="n">
        <v>32</v>
      </c>
      <c r="G7" t="n">
        <v>32</v>
      </c>
      <c r="H7" t="inlineStr">
        <is>
          <t>16121661</t>
        </is>
      </c>
      <c r="I7" t="inlineStr">
        <is>
          <t>GEM/2025/B/6910835</t>
        </is>
      </c>
      <c r="J7" t="inlineStr">
        <is>
          <t>hiring of pay loaders and tippers for loading and transportation of coal from face to siding</t>
        </is>
      </c>
      <c r="K7" t="inlineStr">
        <is>
          <t>Coal transport (RCR / siding)</t>
        </is>
      </c>
      <c r="L7" t="inlineStr">
        <is>
          <t>Mahanadi Coalfields Limited</t>
        </is>
      </c>
      <c r="M7" t="inlineStr">
        <is>
          <t>Orissa</t>
        </is>
      </c>
      <c r="N7" t="inlineStr">
        <is>
          <t>Sundergarh</t>
        </is>
      </c>
      <c r="O7" s="5" t="n">
        <v>46003</v>
      </c>
      <c r="P7" t="inlineStr">
        <is>
          <t>AOC</t>
        </is>
      </c>
      <c r="Q7" t="inlineStr">
        <is>
          <t>Matarani Resources Private Limited</t>
        </is>
      </c>
      <c r="R7" t="inlineStr"/>
      <c r="S7" t="inlineStr">
        <is>
          <t>3 named / 3</t>
        </is>
      </c>
      <c r="T7" t="n">
        <v>6.17</v>
      </c>
      <c r="U7" s="6">
        <f>IF(ISNUMBER(G7),MAX(MAX(G7,Settings!$B$13)*Settings!$B$7*Settings!$B$5,IF(ISNUMBER(Settings!$B$12),Settings!$B$12,0))*(1+IF(Settings!$B$11="Y",0,Settings!$B$10/100))+N(Settings!$B$9),"")</f>
        <v/>
      </c>
      <c r="W7" s="6">
        <f>IF(ISNUMBER(V7),IF(V7*Settings!$B$8&gt;1000,"beyond table",IFERROR(LOOKUP(V7*Settings!$B$8,'FOIS 145A'!$A$2:$A$22,'FOIS 145A'!$C$2:$C$22)*(1+IF(Settings!$B$11="Y",0,Settings!$B$10/100)),"")),"")</f>
        <v/>
      </c>
      <c r="X7" s="6">
        <f>IF(AND(ISNUMBER(U7),ISNUMBER(W7)),U7+W7,"")</f>
        <v/>
      </c>
      <c r="Y7">
        <f>Settings!$B$6</f>
        <v/>
      </c>
    </row>
    <row r="8">
      <c r="A8" s="4" t="inlineStr">
        <is>
          <t>Yes</t>
        </is>
      </c>
      <c r="B8" t="inlineStr">
        <is>
          <t>mine named in title; plant/siding named in title</t>
        </is>
      </c>
      <c r="C8" t="inlineStr">
        <is>
          <t>Hemgir / Manoharpur (Sundargarh)</t>
        </is>
      </c>
      <c r="D8" t="n">
        <v>32</v>
      </c>
      <c r="E8" t="inlineStr">
        <is>
          <t>Hemgir / Manoharpur (Sundargarh)</t>
        </is>
      </c>
      <c r="F8" t="n">
        <v>32</v>
      </c>
      <c r="G8" t="n">
        <v>32</v>
      </c>
      <c r="H8" t="inlineStr">
        <is>
          <t>17034496</t>
        </is>
      </c>
      <c r="I8" t="inlineStr">
        <is>
          <t>2026_OCAPL_127805_1</t>
        </is>
      </c>
      <c r="J8" t="inlineStr">
        <is>
          <t>transportation of coal from manoharpur coal mines to ntpc, darlipali, sundargarh by road</t>
        </is>
      </c>
      <c r="K8" t="inlineStr">
        <is>
          <t>Coal transport (road)</t>
        </is>
      </c>
      <c r="L8" t="inlineStr">
        <is>
          <t>Odisha Coal And Power Limited</t>
        </is>
      </c>
      <c r="M8" t="inlineStr">
        <is>
          <t>Orissa</t>
        </is>
      </c>
      <c r="N8" t="inlineStr">
        <is>
          <t>Sundergarh</t>
        </is>
      </c>
      <c r="O8" s="5" t="n">
        <v>46121</v>
      </c>
      <c r="P8" t="inlineStr">
        <is>
          <t>Technical</t>
        </is>
      </c>
      <c r="Q8" t="inlineStr">
        <is>
          <t>-</t>
        </is>
      </c>
      <c r="R8" t="inlineStr">
        <is>
          <t>Vedvyas Logistic</t>
        </is>
      </c>
      <c r="S8" t="inlineStr">
        <is>
          <t>5 named / 5</t>
        </is>
      </c>
      <c r="U8" s="6">
        <f>IF(ISNUMBER(G8),MAX(MAX(G8,Settings!$B$13)*Settings!$B$7*Settings!$B$5,IF(ISNUMBER(Settings!$B$12),Settings!$B$12,0))*(1+IF(Settings!$B$11="Y",0,Settings!$B$10/100))+N(Settings!$B$9),"")</f>
        <v/>
      </c>
      <c r="W8" s="6">
        <f>IF(ISNUMBER(V8),IF(V8*Settings!$B$8&gt;1000,"beyond table",IFERROR(LOOKUP(V8*Settings!$B$8,'FOIS 145A'!$A$2:$A$22,'FOIS 145A'!$C$2:$C$22)*(1+IF(Settings!$B$11="Y",0,Settings!$B$10/100)),"")),"")</f>
        <v/>
      </c>
      <c r="X8" s="6">
        <f>IF(AND(ISNUMBER(U8),ISNUMBER(W8)),U8+W8,"")</f>
        <v/>
      </c>
      <c r="Y8">
        <f>Settings!$B$6</f>
        <v/>
      </c>
    </row>
    <row r="9">
      <c r="A9" s="4" t="inlineStr">
        <is>
          <t>Yes</t>
        </is>
      </c>
      <c r="B9" t="inlineStr">
        <is>
          <t>mine named in title; plant = tender city</t>
        </is>
      </c>
      <c r="C9" t="inlineStr">
        <is>
          <t>Hemgir / Manoharpur (Sundargarh)</t>
        </is>
      </c>
      <c r="D9" t="n">
        <v>32</v>
      </c>
      <c r="E9" t="inlineStr">
        <is>
          <t>Rourkela (tender city)</t>
        </is>
      </c>
      <c r="F9" t="n">
        <v>156</v>
      </c>
      <c r="G9" t="n">
        <v>32</v>
      </c>
      <c r="H9" t="inlineStr">
        <is>
          <t>14138047</t>
        </is>
      </c>
      <c r="I9" t="inlineStr">
        <is>
          <t>GEM/2025/B/6302813</t>
        </is>
      </c>
      <c r="J9" t="inlineStr">
        <is>
          <t>transportation of coal from ocpl manoharpur mines</t>
        </is>
      </c>
      <c r="K9" t="inlineStr">
        <is>
          <t>Coal transport (road)</t>
        </is>
      </c>
      <c r="L9" t="inlineStr">
        <is>
          <t>Ntpc-Sail Power Company Private Limited</t>
        </is>
      </c>
      <c r="M9" t="inlineStr">
        <is>
          <t>Orissa</t>
        </is>
      </c>
      <c r="N9" t="inlineStr">
        <is>
          <t>Rourkela</t>
        </is>
      </c>
      <c r="O9" s="5" t="n">
        <v>45824</v>
      </c>
      <c r="P9" t="inlineStr">
        <is>
          <t>AOC</t>
        </is>
      </c>
      <c r="Q9" t="inlineStr">
        <is>
          <t xml:space="preserve">Orissa Transport Co </t>
        </is>
      </c>
      <c r="R9" t="inlineStr">
        <is>
          <t>Anoop Road Carriers, Tirupati Minerals</t>
        </is>
      </c>
      <c r="S9" t="inlineStr">
        <is>
          <t>4 named / 4</t>
        </is>
      </c>
      <c r="T9" t="n">
        <v>0.39</v>
      </c>
      <c r="U9" s="6">
        <f>IF(ISNUMBER(G9),MAX(MAX(G9,Settings!$B$13)*Settings!$B$7*Settings!$B$5,IF(ISNUMBER(Settings!$B$12),Settings!$B$12,0))*(1+IF(Settings!$B$11="Y",0,Settings!$B$10/100))+N(Settings!$B$9),"")</f>
        <v/>
      </c>
      <c r="V9" t="n">
        <v>156</v>
      </c>
      <c r="W9" s="6">
        <f>IF(ISNUMBER(V9),IF(V9*Settings!$B$8&gt;1000,"beyond table",IFERROR(LOOKUP(V9*Settings!$B$8,'FOIS 145A'!$A$2:$A$22,'FOIS 145A'!$C$2:$C$22)*(1+IF(Settings!$B$11="Y",0,Settings!$B$10/100)),"")),"")</f>
        <v/>
      </c>
      <c r="X9" s="6">
        <f>IF(AND(ISNUMBER(U9),ISNUMBER(W9)),U9+W9,"")</f>
        <v/>
      </c>
      <c r="Y9">
        <f>Settings!$B$6</f>
        <v/>
      </c>
    </row>
    <row r="10">
      <c r="A10" s="4" t="inlineStr">
        <is>
          <t>Yes</t>
        </is>
      </c>
      <c r="B10" t="inlineStr">
        <is>
          <t>mine named in title; plant = tender city</t>
        </is>
      </c>
      <c r="C10" t="inlineStr">
        <is>
          <t>Hemgir / Manoharpur (Sundargarh)</t>
        </is>
      </c>
      <c r="D10" t="n">
        <v>32</v>
      </c>
      <c r="E10" t="inlineStr">
        <is>
          <t>Rourkela (tender city)</t>
        </is>
      </c>
      <c r="F10" t="n">
        <v>156</v>
      </c>
      <c r="G10" t="n">
        <v>32</v>
      </c>
      <c r="H10" t="inlineStr">
        <is>
          <t>13961330</t>
        </is>
      </c>
      <c r="I10" t="inlineStr">
        <is>
          <t>GEM/2025/B/6196170</t>
        </is>
      </c>
      <c r="J10" t="inlineStr">
        <is>
          <t>transportation of coal from ocpl manoharpur mines to any private/public s</t>
        </is>
      </c>
      <c r="K10" t="inlineStr">
        <is>
          <t>Coal transport (road)</t>
        </is>
      </c>
      <c r="L10" t="inlineStr">
        <is>
          <t>Ntpc-Sail Power Company Private Limited</t>
        </is>
      </c>
      <c r="M10" t="inlineStr">
        <is>
          <t>Orissa</t>
        </is>
      </c>
      <c r="N10" t="inlineStr">
        <is>
          <t>Rourkela</t>
        </is>
      </c>
      <c r="O10" s="5" t="n">
        <v>45810</v>
      </c>
      <c r="P10" t="inlineStr">
        <is>
          <t>Financial</t>
        </is>
      </c>
      <c r="Q10" t="inlineStr">
        <is>
          <t>-</t>
        </is>
      </c>
      <c r="R10" t="inlineStr">
        <is>
          <t>Advika Logistics, Anoop Road Carriers, Godavari Commodities</t>
        </is>
      </c>
      <c r="S10" t="inlineStr">
        <is>
          <t>5 named / 20</t>
        </is>
      </c>
      <c r="U10" s="6">
        <f>IF(ISNUMBER(G10),MAX(MAX(G10,Settings!$B$13)*Settings!$B$7*Settings!$B$5,IF(ISNUMBER(Settings!$B$12),Settings!$B$12,0))*(1+IF(Settings!$B$11="Y",0,Settings!$B$10/100))+N(Settings!$B$9),"")</f>
        <v/>
      </c>
      <c r="V10" t="n">
        <v>156</v>
      </c>
      <c r="W10" s="6">
        <f>IF(ISNUMBER(V10),IF(V10*Settings!$B$8&gt;1000,"beyond table",IFERROR(LOOKUP(V10*Settings!$B$8,'FOIS 145A'!$A$2:$A$22,'FOIS 145A'!$C$2:$C$22)*(1+IF(Settings!$B$11="Y",0,Settings!$B$10/100)),"")),"")</f>
        <v/>
      </c>
      <c r="X10" s="6">
        <f>IF(AND(ISNUMBER(U10),ISNUMBER(W10)),U10+W10,"")</f>
        <v/>
      </c>
      <c r="Y10">
        <f>Settings!$B$6</f>
        <v/>
      </c>
    </row>
    <row r="11">
      <c r="A11" s="4" t="inlineStr">
        <is>
          <t>Yes</t>
        </is>
      </c>
      <c r="B11" t="inlineStr">
        <is>
          <t>mine named in title; plant = tender city</t>
        </is>
      </c>
      <c r="C11" t="inlineStr">
        <is>
          <t>Hemgir / Manoharpur (Sundargarh)</t>
        </is>
      </c>
      <c r="D11" t="n">
        <v>32</v>
      </c>
      <c r="E11" t="inlineStr">
        <is>
          <t>Rourkela (tender city)</t>
        </is>
      </c>
      <c r="F11" t="n">
        <v>156</v>
      </c>
      <c r="G11" t="n">
        <v>32</v>
      </c>
      <c r="H11" t="inlineStr">
        <is>
          <t>13168942</t>
        </is>
      </c>
      <c r="I11" t="inlineStr">
        <is>
          <t>GEM/2025/B/6073786</t>
        </is>
      </c>
      <c r="J11" t="inlineStr">
        <is>
          <t>transportation of coal from ocpl manoharpur mines to any privatepublic si</t>
        </is>
      </c>
      <c r="K11" t="inlineStr">
        <is>
          <t>Coal transport (road)</t>
        </is>
      </c>
      <c r="L11" t="inlineStr">
        <is>
          <t>Ntpc-Sail Power Company Private Limited</t>
        </is>
      </c>
      <c r="M11" t="inlineStr">
        <is>
          <t>Orissa</t>
        </is>
      </c>
      <c r="N11" t="inlineStr">
        <is>
          <t>Rourkela</t>
        </is>
      </c>
      <c r="O11" s="5" t="n">
        <v>45750</v>
      </c>
      <c r="P11" t="inlineStr">
        <is>
          <t>AOC</t>
        </is>
      </c>
      <c r="Q11" t="inlineStr">
        <is>
          <t>Alps Mining Services Private Limited</t>
        </is>
      </c>
      <c r="R11" t="inlineStr">
        <is>
          <t>Anoop Road Carriers, Tirupati Minerals</t>
        </is>
      </c>
      <c r="S11" t="inlineStr">
        <is>
          <t>3 named / 3</t>
        </is>
      </c>
      <c r="T11" t="n">
        <v>0.4</v>
      </c>
      <c r="U11" s="6">
        <f>IF(ISNUMBER(G11),MAX(MAX(G11,Settings!$B$13)*Settings!$B$7*Settings!$B$5,IF(ISNUMBER(Settings!$B$12),Settings!$B$12,0))*(1+IF(Settings!$B$11="Y",0,Settings!$B$10/100))+N(Settings!$B$9),"")</f>
        <v/>
      </c>
      <c r="V11" t="n">
        <v>156</v>
      </c>
      <c r="W11" s="6">
        <f>IF(ISNUMBER(V11),IF(V11*Settings!$B$8&gt;1000,"beyond table",IFERROR(LOOKUP(V11*Settings!$B$8,'FOIS 145A'!$A$2:$A$22,'FOIS 145A'!$C$2:$C$22)*(1+IF(Settings!$B$11="Y",0,Settings!$B$10/100)),"")),"")</f>
        <v/>
      </c>
      <c r="X11" s="6">
        <f>IF(AND(ISNUMBER(U11),ISNUMBER(W11)),U11+W11,"")</f>
        <v/>
      </c>
      <c r="Y11">
        <f>Settings!$B$6</f>
        <v/>
      </c>
    </row>
    <row r="12">
      <c r="A12" s="4" t="inlineStr">
        <is>
          <t>Yes</t>
        </is>
      </c>
      <c r="B12" t="inlineStr">
        <is>
          <t>mine = coal company's tender city; siding = same area</t>
        </is>
      </c>
      <c r="C12" t="inlineStr">
        <is>
          <t>Sundargarh district (IB Valley / Hemgir) (tender city)</t>
        </is>
      </c>
      <c r="D12" t="n">
        <v>32</v>
      </c>
      <c r="E12" t="inlineStr">
        <is>
          <t>Sundargarh district (IB Valley / Hemgir) (tender city)</t>
        </is>
      </c>
      <c r="F12" t="n">
        <v>32</v>
      </c>
      <c r="G12" t="n">
        <v>32</v>
      </c>
      <c r="H12" t="inlineStr">
        <is>
          <t>12921764</t>
        </is>
      </c>
      <c r="I12" t="inlineStr">
        <is>
          <t>GEM/2025/B/5954457</t>
        </is>
      </c>
      <c r="J12" t="inlineStr">
        <is>
          <t>loading of road sale tippe</t>
        </is>
      </c>
      <c r="K12" t="inlineStr">
        <is>
          <t>Loading / handling / crushing</t>
        </is>
      </c>
      <c r="L12" t="inlineStr">
        <is>
          <t>Mahanadi Coalfields Limited</t>
        </is>
      </c>
      <c r="M12" t="inlineStr">
        <is>
          <t>Orissa</t>
        </is>
      </c>
      <c r="N12" t="inlineStr">
        <is>
          <t>Sundergarh</t>
        </is>
      </c>
      <c r="O12" s="5" t="n">
        <v>45719</v>
      </c>
      <c r="P12" t="inlineStr">
        <is>
          <t>AOC</t>
        </is>
      </c>
      <c r="Q12" t="inlineStr">
        <is>
          <t>Millennium Suppliers Private Limited</t>
        </is>
      </c>
      <c r="R12" t="inlineStr"/>
      <c r="S12" t="inlineStr">
        <is>
          <t>5 named / 12</t>
        </is>
      </c>
      <c r="T12" t="n">
        <v>26.98</v>
      </c>
      <c r="U12" s="6">
        <f>IF(ISNUMBER(G12),MAX(MAX(G12,Settings!$B$13)*Settings!$B$7*Settings!$B$5,IF(ISNUMBER(Settings!$B$12),Settings!$B$12,0))*(1+IF(Settings!$B$11="Y",0,Settings!$B$10/100))+N(Settings!$B$9),"")</f>
        <v/>
      </c>
      <c r="W12" s="6">
        <f>IF(ISNUMBER(V12),IF(V12*Settings!$B$8&gt;1000,"beyond table",IFERROR(LOOKUP(V12*Settings!$B$8,'FOIS 145A'!$A$2:$A$22,'FOIS 145A'!$C$2:$C$22)*(1+IF(Settings!$B$11="Y",0,Settings!$B$10/100)),"")),"")</f>
        <v/>
      </c>
      <c r="X12" s="6">
        <f>IF(AND(ISNUMBER(U12),ISNUMBER(W12)),U12+W12,"")</f>
        <v/>
      </c>
      <c r="Y12">
        <f>Settings!$B$6</f>
        <v/>
      </c>
    </row>
    <row r="13">
      <c r="A13" s="4" t="inlineStr">
        <is>
          <t>Yes</t>
        </is>
      </c>
      <c r="B13" t="inlineStr">
        <is>
          <t>mine = coal company's tender city; siding = same area</t>
        </is>
      </c>
      <c r="C13" t="inlineStr">
        <is>
          <t>Sundargarh district (IB Valley / Hemgir) (tender city)</t>
        </is>
      </c>
      <c r="D13" t="n">
        <v>32</v>
      </c>
      <c r="E13" t="inlineStr">
        <is>
          <t>Sundargarh district (IB Valley / Hemgir) (tender city)</t>
        </is>
      </c>
      <c r="F13" t="n">
        <v>32</v>
      </c>
      <c r="G13" t="n">
        <v>32</v>
      </c>
      <c r="H13" t="inlineStr">
        <is>
          <t>15025805</t>
        </is>
      </c>
      <c r="I13" t="inlineStr">
        <is>
          <t>GEM/2025/B/6419957</t>
        </is>
      </c>
      <c r="J13" t="inlineStr">
        <is>
          <t>hiring of pay loaders and</t>
        </is>
      </c>
      <c r="K13" t="inlineStr">
        <is>
          <t>Other</t>
        </is>
      </c>
      <c r="L13" t="inlineStr">
        <is>
          <t>Mahanadi Coalfields Limited</t>
        </is>
      </c>
      <c r="M13" t="inlineStr">
        <is>
          <t>Orissa</t>
        </is>
      </c>
      <c r="N13" t="inlineStr">
        <is>
          <t>Sundergarh</t>
        </is>
      </c>
      <c r="O13" s="5" t="n">
        <v>45859</v>
      </c>
      <c r="P13" t="inlineStr">
        <is>
          <t>AOC</t>
        </is>
      </c>
      <c r="Q13" t="inlineStr">
        <is>
          <t>Matarani Resources Private Limited</t>
        </is>
      </c>
      <c r="R13" t="inlineStr">
        <is>
          <t>Saikrupa Coal Supplier</t>
        </is>
      </c>
      <c r="S13" t="inlineStr">
        <is>
          <t>3 named / 3</t>
        </is>
      </c>
      <c r="T13" t="n">
        <v>7.1</v>
      </c>
      <c r="U13" s="6">
        <f>IF(ISNUMBER(G13),MAX(MAX(G13,Settings!$B$13)*Settings!$B$7*Settings!$B$5,IF(ISNUMBER(Settings!$B$12),Settings!$B$12,0))*(1+IF(Settings!$B$11="Y",0,Settings!$B$10/100))+N(Settings!$B$9),"")</f>
        <v/>
      </c>
      <c r="W13" s="6">
        <f>IF(ISNUMBER(V13),IF(V13*Settings!$B$8&gt;1000,"beyond table",IFERROR(LOOKUP(V13*Settings!$B$8,'FOIS 145A'!$A$2:$A$22,'FOIS 145A'!$C$2:$C$22)*(1+IF(Settings!$B$11="Y",0,Settings!$B$10/100)),"")),"")</f>
        <v/>
      </c>
      <c r="X13" s="6">
        <f>IF(AND(ISNUMBER(U13),ISNUMBER(W13)),U13+W13,"")</f>
        <v/>
      </c>
      <c r="Y13">
        <f>Settings!$B$6</f>
        <v/>
      </c>
    </row>
    <row r="14">
      <c r="A14" s="4" t="inlineStr">
        <is>
          <t>Yes</t>
        </is>
      </c>
      <c r="B14" t="inlineStr">
        <is>
          <t>mine = coal company's tender city; siding = same area</t>
        </is>
      </c>
      <c r="C14" t="inlineStr">
        <is>
          <t>Sundargarh district (IB Valley / Hemgir) (tender city)</t>
        </is>
      </c>
      <c r="D14" t="n">
        <v>32</v>
      </c>
      <c r="E14" t="inlineStr">
        <is>
          <t>Sundargarh district (IB Valley / Hemgir) (tender city)</t>
        </is>
      </c>
      <c r="F14" t="n">
        <v>32</v>
      </c>
      <c r="G14" t="n">
        <v>32</v>
      </c>
      <c r="H14" t="inlineStr">
        <is>
          <t>14395678</t>
        </is>
      </c>
      <c r="I14" t="inlineStr">
        <is>
          <t>GEM/2025/B/6315435</t>
        </is>
      </c>
      <c r="J14" t="inlineStr">
        <is>
          <t>extraction of coal/coal me</t>
        </is>
      </c>
      <c r="K14" t="inlineStr">
        <is>
          <t>Other</t>
        </is>
      </c>
      <c r="L14" t="inlineStr">
        <is>
          <t>Mahanadi Coalfields Limited</t>
        </is>
      </c>
      <c r="M14" t="inlineStr">
        <is>
          <t>Orissa</t>
        </is>
      </c>
      <c r="N14" t="inlineStr">
        <is>
          <t>Sundergarh</t>
        </is>
      </c>
      <c r="O14" s="5" t="n">
        <v>45848</v>
      </c>
      <c r="P14" t="inlineStr">
        <is>
          <t>AOC</t>
        </is>
      </c>
      <c r="Q14" t="inlineStr">
        <is>
          <t>Shree Ranisati Mining</t>
        </is>
      </c>
      <c r="R14" t="inlineStr"/>
      <c r="S14" t="inlineStr">
        <is>
          <t>5 named / 9</t>
        </is>
      </c>
      <c r="T14" t="n">
        <v>174.14</v>
      </c>
      <c r="U14" s="6">
        <f>IF(ISNUMBER(G14),MAX(MAX(G14,Settings!$B$13)*Settings!$B$7*Settings!$B$5,IF(ISNUMBER(Settings!$B$12),Settings!$B$12,0))*(1+IF(Settings!$B$11="Y",0,Settings!$B$10/100))+N(Settings!$B$9),"")</f>
        <v/>
      </c>
      <c r="W14" s="6">
        <f>IF(ISNUMBER(V14),IF(V14*Settings!$B$8&gt;1000,"beyond table",IFERROR(LOOKUP(V14*Settings!$B$8,'FOIS 145A'!$A$2:$A$22,'FOIS 145A'!$C$2:$C$22)*(1+IF(Settings!$B$11="Y",0,Settings!$B$10/100)),"")),"")</f>
        <v/>
      </c>
      <c r="X14" s="6">
        <f>IF(AND(ISNUMBER(U14),ISNUMBER(W14)),U14+W14,"")</f>
        <v/>
      </c>
      <c r="Y14">
        <f>Settings!$B$6</f>
        <v/>
      </c>
    </row>
    <row r="15">
      <c r="A15" s="4" t="inlineStr">
        <is>
          <t>Yes</t>
        </is>
      </c>
      <c r="B15" t="inlineStr">
        <is>
          <t>mine = coal company's tender city; siding = same area</t>
        </is>
      </c>
      <c r="C15" t="inlineStr">
        <is>
          <t>Sundargarh district (IB Valley / Hemgir) (tender city)</t>
        </is>
      </c>
      <c r="D15" t="n">
        <v>32</v>
      </c>
      <c r="E15" t="inlineStr">
        <is>
          <t>Sundargarh district (IB Valley / Hemgir) (tender city)</t>
        </is>
      </c>
      <c r="F15" t="n">
        <v>32</v>
      </c>
      <c r="G15" t="n">
        <v>32</v>
      </c>
      <c r="H15" t="inlineStr">
        <is>
          <t>13393053</t>
        </is>
      </c>
      <c r="I15" t="inlineStr">
        <is>
          <t>GEM/2025/B/6129453</t>
        </is>
      </c>
      <c r="J15" t="inlineStr">
        <is>
          <t>hiring of pay loaders &amp; ti</t>
        </is>
      </c>
      <c r="K15" t="inlineStr">
        <is>
          <t>Other</t>
        </is>
      </c>
      <c r="L15" t="inlineStr">
        <is>
          <t>Mahanadi Coalfields Limited</t>
        </is>
      </c>
      <c r="M15" t="inlineStr">
        <is>
          <t>Orissa</t>
        </is>
      </c>
      <c r="N15" t="inlineStr">
        <is>
          <t>Sundergarh</t>
        </is>
      </c>
      <c r="O15" s="5" t="n">
        <v>45772</v>
      </c>
      <c r="P15" t="inlineStr">
        <is>
          <t>AOC</t>
        </is>
      </c>
      <c r="Q15" t="inlineStr">
        <is>
          <t>Vansh Logistics</t>
        </is>
      </c>
      <c r="R15" t="inlineStr"/>
      <c r="S15" t="inlineStr">
        <is>
          <t>5 named / 9</t>
        </is>
      </c>
      <c r="T15" t="n">
        <v>41.46</v>
      </c>
      <c r="U15" s="6">
        <f>IF(ISNUMBER(G15),MAX(MAX(G15,Settings!$B$13)*Settings!$B$7*Settings!$B$5,IF(ISNUMBER(Settings!$B$12),Settings!$B$12,0))*(1+IF(Settings!$B$11="Y",0,Settings!$B$10/100))+N(Settings!$B$9),"")</f>
        <v/>
      </c>
      <c r="W15" s="6">
        <f>IF(ISNUMBER(V15),IF(V15*Settings!$B$8&gt;1000,"beyond table",IFERROR(LOOKUP(V15*Settings!$B$8,'FOIS 145A'!$A$2:$A$22,'FOIS 145A'!$C$2:$C$22)*(1+IF(Settings!$B$11="Y",0,Settings!$B$10/100)),"")),"")</f>
        <v/>
      </c>
      <c r="X15" s="6">
        <f>IF(AND(ISNUMBER(U15),ISNUMBER(W15)),U15+W15,"")</f>
        <v/>
      </c>
      <c r="Y15">
        <f>Settings!$B$6</f>
        <v/>
      </c>
    </row>
    <row r="16">
      <c r="A16" s="4" t="inlineStr">
        <is>
          <t>Yes</t>
        </is>
      </c>
      <c r="B16" t="inlineStr">
        <is>
          <t>plant = tender city</t>
        </is>
      </c>
      <c r="C16" t="inlineStr"/>
      <c r="E16" t="inlineStr">
        <is>
          <t>Sundargarh district (IB Valley / Hemgir) (tender city)</t>
        </is>
      </c>
      <c r="F16" t="n">
        <v>32</v>
      </c>
      <c r="G16" t="n">
        <v>32</v>
      </c>
      <c r="H16" t="inlineStr">
        <is>
          <t>12797284</t>
        </is>
      </c>
      <c r="I16" t="inlineStr">
        <is>
          <t>GEM/2025/B/5848728</t>
        </is>
      </c>
      <c r="J16" t="inlineStr">
        <is>
          <t>providing assistance for om activities at ntpc dlcmp</t>
        </is>
      </c>
      <c r="K16" t="inlineStr">
        <is>
          <t>Other</t>
        </is>
      </c>
      <c r="L16" t="inlineStr">
        <is>
          <t>National Thermal Power Corporation Limited</t>
        </is>
      </c>
      <c r="M16" t="inlineStr">
        <is>
          <t>Orissa</t>
        </is>
      </c>
      <c r="N16" t="inlineStr">
        <is>
          <t>Sundergarh</t>
        </is>
      </c>
      <c r="O16" s="5" t="n">
        <v>45713</v>
      </c>
      <c r="P16" t="inlineStr">
        <is>
          <t>AOC</t>
        </is>
      </c>
      <c r="Q16" t="inlineStr">
        <is>
          <t>M/S A P Construction</t>
        </is>
      </c>
      <c r="R16" t="inlineStr"/>
      <c r="S16" t="inlineStr">
        <is>
          <t>5 named / 9</t>
        </is>
      </c>
      <c r="T16" t="n">
        <v>2.19</v>
      </c>
      <c r="U16" s="6">
        <f>IF(ISNUMBER(G16),MAX(MAX(G16,Settings!$B$13)*Settings!$B$7*Settings!$B$5,IF(ISNUMBER(Settings!$B$12),Settings!$B$12,0))*(1+IF(Settings!$B$11="Y",0,Settings!$B$10/100))+N(Settings!$B$9),"")</f>
        <v/>
      </c>
      <c r="W16" s="6">
        <f>IF(ISNUMBER(V16),IF(V16*Settings!$B$8&gt;1000,"beyond table",IFERROR(LOOKUP(V16*Settings!$B$8,'FOIS 145A'!$A$2:$A$22,'FOIS 145A'!$C$2:$C$22)*(1+IF(Settings!$B$11="Y",0,Settings!$B$10/100)),"")),"")</f>
        <v/>
      </c>
      <c r="X16" s="6">
        <f>IF(AND(ISNUMBER(U16),ISNUMBER(W16)),U16+W16,"")</f>
        <v/>
      </c>
      <c r="Y16">
        <f>Settings!$B$6</f>
        <v/>
      </c>
    </row>
    <row r="17">
      <c r="A17" s="4" t="inlineStr">
        <is>
          <t>Yes</t>
        </is>
      </c>
      <c r="B17" t="inlineStr">
        <is>
          <t>mine named in title</t>
        </is>
      </c>
      <c r="C17" t="inlineStr">
        <is>
          <t>IB Valley (Jharsuguda)</t>
        </is>
      </c>
      <c r="D17" t="n">
        <v>47</v>
      </c>
      <c r="E17" t="inlineStr"/>
      <c r="G17" t="n">
        <v>47</v>
      </c>
      <c r="H17" t="inlineStr">
        <is>
          <t>18286647</t>
        </is>
      </c>
      <c r="I17" t="inlineStr">
        <is>
          <t>2026_NTPC_111971_1</t>
        </is>
      </c>
      <c r="J17" t="inlineStr">
        <is>
          <t>contract for loading and transportation of coal from mcl-ib mine to any designated siding and loading in indian railway wagons for onward transportation to ntpc simhadri.</t>
        </is>
      </c>
      <c r="K17" t="inlineStr">
        <is>
          <t>Coal transport (RCR / siding)</t>
        </is>
      </c>
      <c r="L17" t="inlineStr">
        <is>
          <t>National Thermal Power Corporation Limited</t>
        </is>
      </c>
      <c r="M17" t="inlineStr">
        <is>
          <t>Andhra Pradesh</t>
        </is>
      </c>
      <c r="N17" t="inlineStr">
        <is>
          <t>Visakhapatnam</t>
        </is>
      </c>
      <c r="O17" s="5" t="n">
        <v>46274</v>
      </c>
      <c r="P17" t="inlineStr">
        <is>
          <t>Financial</t>
        </is>
      </c>
      <c r="Q17" t="inlineStr">
        <is>
          <t>-</t>
        </is>
      </c>
      <c r="R17" t="inlineStr">
        <is>
          <t>Anoop Road Carriers, Bharat Road Carrier, Sangita Sales, Swami Fuels</t>
        </is>
      </c>
      <c r="S17" t="inlineStr">
        <is>
          <t>5 named / 6</t>
        </is>
      </c>
      <c r="U17" s="6">
        <f>IF(ISNUMBER(G17),MAX(MAX(G17,Settings!$B$13)*Settings!$B$7*Settings!$B$5,IF(ISNUMBER(Settings!$B$12),Settings!$B$12,0))*(1+IF(Settings!$B$11="Y",0,Settings!$B$10/100))+N(Settings!$B$9),"")</f>
        <v/>
      </c>
      <c r="W17" s="6">
        <f>IF(ISNUMBER(V17),IF(V17*Settings!$B$8&gt;1000,"beyond table",IFERROR(LOOKUP(V17*Settings!$B$8,'FOIS 145A'!$A$2:$A$22,'FOIS 145A'!$C$2:$C$22)*(1+IF(Settings!$B$11="Y",0,Settings!$B$10/100)),"")),"")</f>
        <v/>
      </c>
      <c r="X17" s="6">
        <f>IF(AND(ISNUMBER(U17),ISNUMBER(W17)),U17+W17,"")</f>
        <v/>
      </c>
      <c r="Y17">
        <f>Settings!$B$6</f>
        <v/>
      </c>
    </row>
    <row r="18">
      <c r="A18" s="4" t="inlineStr">
        <is>
          <t>Yes</t>
        </is>
      </c>
      <c r="B18" t="inlineStr">
        <is>
          <t>mine = coal company's tender city; siding = same area</t>
        </is>
      </c>
      <c r="C18" t="inlineStr">
        <is>
          <t>Brajrajnagar / Jharsuguda (tender city)</t>
        </is>
      </c>
      <c r="D18" t="n">
        <v>54</v>
      </c>
      <c r="E18" t="inlineStr">
        <is>
          <t>Brajrajnagar / Jharsuguda (tender city)</t>
        </is>
      </c>
      <c r="F18" t="n">
        <v>54</v>
      </c>
      <c r="G18" t="n">
        <v>54</v>
      </c>
      <c r="H18" t="inlineStr">
        <is>
          <t>12706783</t>
        </is>
      </c>
      <c r="I18" t="inlineStr">
        <is>
          <t>GEM/2025/B/5868534</t>
        </is>
      </c>
      <c r="J18" t="inlineStr">
        <is>
          <t>loading and transportation</t>
        </is>
      </c>
      <c r="K18" t="inlineStr">
        <is>
          <t>Coal transport (road)</t>
        </is>
      </c>
      <c r="L18" t="inlineStr">
        <is>
          <t>Mahanadi Coalfields Limited</t>
        </is>
      </c>
      <c r="M18" t="inlineStr">
        <is>
          <t>Orissa</t>
        </is>
      </c>
      <c r="N18" t="inlineStr">
        <is>
          <t>Jharsuguda</t>
        </is>
      </c>
      <c r="O18" s="5" t="n">
        <v>45708</v>
      </c>
      <c r="P18" t="inlineStr">
        <is>
          <t>AOC</t>
        </is>
      </c>
      <c r="Q18" t="inlineStr">
        <is>
          <t>Variant Commercial Private Limited</t>
        </is>
      </c>
      <c r="R18" t="inlineStr"/>
      <c r="S18" t="inlineStr">
        <is>
          <t>5 named / 11</t>
        </is>
      </c>
      <c r="T18" t="n">
        <v>94.20999999999999</v>
      </c>
      <c r="U18" s="6">
        <f>IF(ISNUMBER(G18),MAX(MAX(G18,Settings!$B$13)*Settings!$B$7*Settings!$B$5,IF(ISNUMBER(Settings!$B$12),Settings!$B$12,0))*(1+IF(Settings!$B$11="Y",0,Settings!$B$10/100))+N(Settings!$B$9),"")</f>
        <v/>
      </c>
      <c r="W18" s="6">
        <f>IF(ISNUMBER(V18),IF(V18*Settings!$B$8&gt;1000,"beyond table",IFERROR(LOOKUP(V18*Settings!$B$8,'FOIS 145A'!$A$2:$A$22,'FOIS 145A'!$C$2:$C$22)*(1+IF(Settings!$B$11="Y",0,Settings!$B$10/100)),"")),"")</f>
        <v/>
      </c>
      <c r="X18" s="6">
        <f>IF(AND(ISNUMBER(U18),ISNUMBER(W18)),U18+W18,"")</f>
        <v/>
      </c>
      <c r="Y18">
        <f>Settings!$B$6</f>
        <v/>
      </c>
    </row>
    <row r="19">
      <c r="A19" s="4" t="inlineStr">
        <is>
          <t>Yes</t>
        </is>
      </c>
      <c r="B19" t="inlineStr">
        <is>
          <t>mine named in title</t>
        </is>
      </c>
      <c r="C19" t="inlineStr">
        <is>
          <t>Talabira (near Sambalpur/Jharsuguda)</t>
        </is>
      </c>
      <c r="D19" t="n">
        <v>61</v>
      </c>
      <c r="E19" t="inlineStr"/>
      <c r="G19" t="n">
        <v>61</v>
      </c>
      <c r="H19" t="inlineStr">
        <is>
          <t>18306349</t>
        </is>
      </c>
      <c r="I19" t="inlineStr">
        <is>
          <t>2026_NTPC_111933_1</t>
        </is>
      </c>
      <c r="J19" t="inlineStr">
        <is>
          <t>transportation of 2 lmt coal from nlc talabira mines to ntpc simhadri through rcr mode - as per sow</t>
        </is>
      </c>
      <c r="K19" t="inlineStr">
        <is>
          <t>Coal transport (RCR / siding)</t>
        </is>
      </c>
      <c r="L19" t="inlineStr">
        <is>
          <t>National Thermal Power Corporation Limited</t>
        </is>
      </c>
      <c r="M19" t="inlineStr">
        <is>
          <t>Chhattisgarh</t>
        </is>
      </c>
      <c r="N19" t="inlineStr">
        <is>
          <t>Raipur</t>
        </is>
      </c>
      <c r="O19" s="5" t="n">
        <v>46288</v>
      </c>
      <c r="P19" t="inlineStr">
        <is>
          <t>Financial</t>
        </is>
      </c>
      <c r="Q19" t="inlineStr">
        <is>
          <t>-</t>
        </is>
      </c>
      <c r="R19" t="inlineStr">
        <is>
          <t>Anoop Road Carriers, Bharat Road Carrier, Mohit Minerals, Sangita Sales</t>
        </is>
      </c>
      <c r="S19" t="inlineStr">
        <is>
          <t>5 named / 8</t>
        </is>
      </c>
      <c r="U19" s="6">
        <f>IF(ISNUMBER(G19),MAX(MAX(G19,Settings!$B$13)*Settings!$B$7*Settings!$B$5,IF(ISNUMBER(Settings!$B$12),Settings!$B$12,0))*(1+IF(Settings!$B$11="Y",0,Settings!$B$10/100))+N(Settings!$B$9),"")</f>
        <v/>
      </c>
      <c r="W19" s="6">
        <f>IF(ISNUMBER(V19),IF(V19*Settings!$B$8&gt;1000,"beyond table",IFERROR(LOOKUP(V19*Settings!$B$8,'FOIS 145A'!$A$2:$A$22,'FOIS 145A'!$C$2:$C$22)*(1+IF(Settings!$B$11="Y",0,Settings!$B$10/100)),"")),"")</f>
        <v/>
      </c>
      <c r="X19" s="6">
        <f>IF(AND(ISNUMBER(U19),ISNUMBER(W19)),U19+W19,"")</f>
        <v/>
      </c>
      <c r="Y19">
        <f>Settings!$B$6</f>
        <v/>
      </c>
    </row>
    <row r="20">
      <c r="A20" s="4" t="inlineStr">
        <is>
          <t>Yes</t>
        </is>
      </c>
      <c r="B20" t="inlineStr">
        <is>
          <t>mine named in title; plant/siding named in title</t>
        </is>
      </c>
      <c r="C20" t="inlineStr">
        <is>
          <t>Talabira (near Sambalpur/Jharsuguda)</t>
        </is>
      </c>
      <c r="D20" t="n">
        <v>61</v>
      </c>
      <c r="E20" t="inlineStr">
        <is>
          <t>Talabira (near Sambalpur/Jharsuguda)</t>
        </is>
      </c>
      <c r="F20" t="n">
        <v>61</v>
      </c>
      <c r="G20" t="n">
        <v>61</v>
      </c>
      <c r="H20" t="inlineStr">
        <is>
          <t>18286732</t>
        </is>
      </c>
      <c r="I20" t="inlineStr">
        <is>
          <t>2026_NTPC_111957_1</t>
        </is>
      </c>
      <c r="J20" t="inlineStr">
        <is>
          <t>coal transportation from nlc talabira mines to ntpc telangana(ttgr) - coal transportation from nlc talabira mines to ntpc telangana(ttgr)through rcr mode</t>
        </is>
      </c>
      <c r="K20" t="inlineStr">
        <is>
          <t>Coal transport (RCR / siding)</t>
        </is>
      </c>
      <c r="L20" t="inlineStr">
        <is>
          <t>National Thermal Power Corporation Limited</t>
        </is>
      </c>
      <c r="M20" t="inlineStr">
        <is>
          <t>Chhattisgarh</t>
        </is>
      </c>
      <c r="N20" t="inlineStr">
        <is>
          <t>Raipur</t>
        </is>
      </c>
      <c r="O20" s="5" t="n">
        <v>46287</v>
      </c>
      <c r="P20" t="inlineStr">
        <is>
          <t>AOC</t>
        </is>
      </c>
      <c r="Q20" t="inlineStr">
        <is>
          <t>Swami Fuels Private Limited</t>
        </is>
      </c>
      <c r="R20" t="inlineStr">
        <is>
          <t>Anoop Road Carriers, Swami Fuels, Tirupati Minerals</t>
        </is>
      </c>
      <c r="S20" t="inlineStr">
        <is>
          <t>4 named / 4</t>
        </is>
      </c>
      <c r="T20" t="n">
        <v>6.68</v>
      </c>
      <c r="U20" s="6">
        <f>IF(ISNUMBER(G20),MAX(MAX(G20,Settings!$B$13)*Settings!$B$7*Settings!$B$5,IF(ISNUMBER(Settings!$B$12),Settings!$B$12,0))*(1+IF(Settings!$B$11="Y",0,Settings!$B$10/100))+N(Settings!$B$9),"")</f>
        <v/>
      </c>
      <c r="W20" s="6">
        <f>IF(ISNUMBER(V20),IF(V20*Settings!$B$8&gt;1000,"beyond table",IFERROR(LOOKUP(V20*Settings!$B$8,'FOIS 145A'!$A$2:$A$22,'FOIS 145A'!$C$2:$C$22)*(1+IF(Settings!$B$11="Y",0,Settings!$B$10/100)),"")),"")</f>
        <v/>
      </c>
      <c r="X20" s="6">
        <f>IF(AND(ISNUMBER(U20),ISNUMBER(W20)),U20+W20,"")</f>
        <v/>
      </c>
      <c r="Y20">
        <f>Settings!$B$6</f>
        <v/>
      </c>
    </row>
    <row r="21">
      <c r="A21" s="4" t="inlineStr">
        <is>
          <t>Yes</t>
        </is>
      </c>
      <c r="B21" t="inlineStr">
        <is>
          <t>mine named in title</t>
        </is>
      </c>
      <c r="C21" t="inlineStr">
        <is>
          <t>Talabira (near Sambalpur/Jharsuguda)</t>
        </is>
      </c>
      <c r="D21" t="n">
        <v>61</v>
      </c>
      <c r="E21" t="inlineStr"/>
      <c r="G21" t="n">
        <v>61</v>
      </c>
      <c r="H21" t="inlineStr">
        <is>
          <t>18222478</t>
        </is>
      </c>
      <c r="I21" t="inlineStr">
        <is>
          <t>2026_NTPC_111805_1</t>
        </is>
      </c>
      <c r="J21" t="inlineStr">
        <is>
          <t>coal transportation from nlc talabira mines to ntpc kudgi through rcr</t>
        </is>
      </c>
      <c r="K21" t="inlineStr">
        <is>
          <t>Coal transport (RCR / siding)</t>
        </is>
      </c>
      <c r="L21" t="inlineStr">
        <is>
          <t>National Thermal Power Corporation Limited</t>
        </is>
      </c>
      <c r="M21" t="inlineStr">
        <is>
          <t>Karnataka</t>
        </is>
      </c>
      <c r="N21" t="inlineStr">
        <is>
          <t>Kudligi</t>
        </is>
      </c>
      <c r="O21" s="5" t="n">
        <v>46156</v>
      </c>
      <c r="P21" t="inlineStr">
        <is>
          <t>AOC</t>
        </is>
      </c>
      <c r="Q21" t="inlineStr">
        <is>
          <t>Kalyani Ventures Limited</t>
        </is>
      </c>
      <c r="R21" t="inlineStr"/>
      <c r="S21" t="inlineStr">
        <is>
          <t>1 named / 1</t>
        </is>
      </c>
      <c r="T21" t="n">
        <v>1.5</v>
      </c>
      <c r="U21" s="6">
        <f>IF(ISNUMBER(G21),MAX(MAX(G21,Settings!$B$13)*Settings!$B$7*Settings!$B$5,IF(ISNUMBER(Settings!$B$12),Settings!$B$12,0))*(1+IF(Settings!$B$11="Y",0,Settings!$B$10/100))+N(Settings!$B$9),"")</f>
        <v/>
      </c>
      <c r="W21" s="6">
        <f>IF(ISNUMBER(V21),IF(V21*Settings!$B$8&gt;1000,"beyond table",IFERROR(LOOKUP(V21*Settings!$B$8,'FOIS 145A'!$A$2:$A$22,'FOIS 145A'!$C$2:$C$22)*(1+IF(Settings!$B$11="Y",0,Settings!$B$10/100)),"")),"")</f>
        <v/>
      </c>
      <c r="X21" s="6">
        <f>IF(AND(ISNUMBER(U21),ISNUMBER(W21)),U21+W21,"")</f>
        <v/>
      </c>
      <c r="Y21">
        <f>Settings!$B$6</f>
        <v/>
      </c>
    </row>
    <row r="22">
      <c r="A22" s="4" t="inlineStr">
        <is>
          <t>Yes</t>
        </is>
      </c>
      <c r="B22" t="inlineStr">
        <is>
          <t>mine named in title; plant = tender city in West Bengal</t>
        </is>
      </c>
      <c r="C22" t="inlineStr">
        <is>
          <t>Talabira (near Sambalpur/Jharsuguda)</t>
        </is>
      </c>
      <c r="D22" t="n">
        <v>61</v>
      </c>
      <c r="E22" t="inlineStr"/>
      <c r="G22" t="n">
        <v>61</v>
      </c>
      <c r="H22" t="inlineStr">
        <is>
          <t>15407506</t>
        </is>
      </c>
      <c r="I22" t="inlineStr">
        <is>
          <t>2025_DVC_245419_1</t>
        </is>
      </c>
      <c r="J22" t="inlineStr">
        <is>
          <t>lifting of 20.0(twenty) lmt coal from nlc india limited (nlcil)-talabira ii and iii ocp, sambalpur, odisha to dstps and other tps of dvc through rcr mode</t>
        </is>
      </c>
      <c r="K22" t="inlineStr">
        <is>
          <t>Coal transport (RCR / siding)</t>
        </is>
      </c>
      <c r="L22" t="inlineStr">
        <is>
          <t>Damodar Valley Corporation</t>
        </is>
      </c>
      <c r="M22" t="inlineStr">
        <is>
          <t>West Bengal</t>
        </is>
      </c>
      <c r="N22" t="inlineStr">
        <is>
          <t>Kolkata</t>
        </is>
      </c>
      <c r="O22" s="5" t="n">
        <v>45897</v>
      </c>
      <c r="P22" t="inlineStr">
        <is>
          <t>Technical</t>
        </is>
      </c>
      <c r="Q22" t="inlineStr">
        <is>
          <t>-</t>
        </is>
      </c>
      <c r="R22" t="inlineStr">
        <is>
          <t>Anoop Road Carriers, Godavari Commodities</t>
        </is>
      </c>
      <c r="S22" t="inlineStr">
        <is>
          <t>5 named / 17</t>
        </is>
      </c>
      <c r="U22" s="6">
        <f>IF(ISNUMBER(G22),MAX(MAX(G22,Settings!$B$13)*Settings!$B$7*Settings!$B$5,IF(ISNUMBER(Settings!$B$12),Settings!$B$12,0))*(1+IF(Settings!$B$11="Y",0,Settings!$B$10/100))+N(Settings!$B$9),"")</f>
        <v/>
      </c>
      <c r="W22" s="6">
        <f>IF(ISNUMBER(V22),IF(V22*Settings!$B$8&gt;1000,"beyond table",IFERROR(LOOKUP(V22*Settings!$B$8,'FOIS 145A'!$A$2:$A$22,'FOIS 145A'!$C$2:$C$22)*(1+IF(Settings!$B$11="Y",0,Settings!$B$10/100)),"")),"")</f>
        <v/>
      </c>
      <c r="X22" s="6">
        <f>IF(AND(ISNUMBER(U22),ISNUMBER(W22)),U22+W22,"")</f>
        <v/>
      </c>
      <c r="Y22">
        <f>Settings!$B$6</f>
        <v/>
      </c>
    </row>
    <row r="23">
      <c r="A23" s="4" t="inlineStr">
        <is>
          <t>Yes</t>
        </is>
      </c>
      <c r="B23" t="inlineStr">
        <is>
          <t>mine named in title</t>
        </is>
      </c>
      <c r="C23" t="inlineStr">
        <is>
          <t>Talabira (near Sambalpur/Jharsuguda)</t>
        </is>
      </c>
      <c r="D23" t="n">
        <v>61</v>
      </c>
      <c r="E23" t="inlineStr"/>
      <c r="G23" t="n">
        <v>61</v>
      </c>
      <c r="H23" t="inlineStr">
        <is>
          <t>14761261</t>
        </is>
      </c>
      <c r="I23" t="inlineStr">
        <is>
          <t>2025_NTPC_98583_1</t>
        </is>
      </c>
      <c r="J23" t="inlineStr">
        <is>
          <t>transportation of 300000mt coal from nlc talabira mines of nlc ltd to ntpc simhadri under rcr mode through any nearby siding</t>
        </is>
      </c>
      <c r="K23" t="inlineStr">
        <is>
          <t>Coal transport (RCR / siding)</t>
        </is>
      </c>
      <c r="L23" t="inlineStr">
        <is>
          <t>National Thermal Power Corporation Limited</t>
        </is>
      </c>
      <c r="M23" t="inlineStr">
        <is>
          <t>Andhra Pradesh</t>
        </is>
      </c>
      <c r="N23" t="inlineStr">
        <is>
          <t>Visakhapatnam</t>
        </is>
      </c>
      <c r="O23" s="5" t="n">
        <v>45880</v>
      </c>
      <c r="P23" t="inlineStr">
        <is>
          <t>Technical</t>
        </is>
      </c>
      <c r="Q23" t="inlineStr">
        <is>
          <t>-</t>
        </is>
      </c>
      <c r="R23" t="inlineStr">
        <is>
          <t>Advika Logistics, Anoop Road Carriers, Indermani / Indramani</t>
        </is>
      </c>
      <c r="S23" t="inlineStr">
        <is>
          <t>5 named / 15</t>
        </is>
      </c>
      <c r="U23" s="6">
        <f>IF(ISNUMBER(G23),MAX(MAX(G23,Settings!$B$13)*Settings!$B$7*Settings!$B$5,IF(ISNUMBER(Settings!$B$12),Settings!$B$12,0))*(1+IF(Settings!$B$11="Y",0,Settings!$B$10/100))+N(Settings!$B$9),"")</f>
        <v/>
      </c>
      <c r="W23" s="6">
        <f>IF(ISNUMBER(V23),IF(V23*Settings!$B$8&gt;1000,"beyond table",IFERROR(LOOKUP(V23*Settings!$B$8,'FOIS 145A'!$A$2:$A$22,'FOIS 145A'!$C$2:$C$22)*(1+IF(Settings!$B$11="Y",0,Settings!$B$10/100)),"")),"")</f>
        <v/>
      </c>
      <c r="X23" s="6">
        <f>IF(AND(ISNUMBER(U23),ISNUMBER(W23)),U23+W23,"")</f>
        <v/>
      </c>
      <c r="Y23">
        <f>Settings!$B$6</f>
        <v/>
      </c>
    </row>
    <row r="24">
      <c r="A24" s="4" t="inlineStr">
        <is>
          <t>Yes</t>
        </is>
      </c>
      <c r="B24" t="inlineStr">
        <is>
          <t>mine named in title; plant/siding named in title</t>
        </is>
      </c>
      <c r="C24" t="inlineStr">
        <is>
          <t>Dharamjaigarh (Raigarh)</t>
        </is>
      </c>
      <c r="D24" t="n">
        <v>66</v>
      </c>
      <c r="E24" t="inlineStr">
        <is>
          <t>Dharamjaigarh (Raigarh)</t>
        </is>
      </c>
      <c r="F24" t="n">
        <v>66</v>
      </c>
      <c r="G24" t="n">
        <v>66</v>
      </c>
      <c r="H24" t="inlineStr">
        <is>
          <t>15913239</t>
        </is>
      </c>
      <c r="I24" t="inlineStr">
        <is>
          <t>GEM/2025/B/6876204</t>
        </is>
      </c>
      <c r="J24" t="inlineStr">
        <is>
          <t>loading, transportation &amp; unloading and wagon loading of coal from surface coal yard of tlcmp to kchp</t>
        </is>
      </c>
      <c r="K24" t="inlineStr">
        <is>
          <t>Coal transport (RCR / siding)</t>
        </is>
      </c>
      <c r="L24" t="inlineStr">
        <is>
          <t>National Thermal Power Corporation Limited</t>
        </is>
      </c>
      <c r="M24" t="inlineStr">
        <is>
          <t>Chhattisgarh</t>
        </is>
      </c>
      <c r="N24" t="inlineStr">
        <is>
          <t>Raigarh</t>
        </is>
      </c>
      <c r="O24" s="5" t="n">
        <v>45999</v>
      </c>
      <c r="P24" t="inlineStr">
        <is>
          <t>AOC</t>
        </is>
      </c>
      <c r="Q24" t="inlineStr">
        <is>
          <t>A B Carriers</t>
        </is>
      </c>
      <c r="R24" t="inlineStr">
        <is>
          <t>Anoop Road Carriers, Mohit Minerals, Nkas Services, Orissa Stevedores</t>
        </is>
      </c>
      <c r="S24" t="inlineStr">
        <is>
          <t>5 named / 10</t>
        </is>
      </c>
      <c r="T24" t="n">
        <v>9.08</v>
      </c>
      <c r="U24" s="6">
        <f>IF(ISNUMBER(G24),MAX(MAX(G24,Settings!$B$13)*Settings!$B$7*Settings!$B$5,IF(ISNUMBER(Settings!$B$12),Settings!$B$12,0))*(1+IF(Settings!$B$11="Y",0,Settings!$B$10/100))+N(Settings!$B$9),"")</f>
        <v/>
      </c>
      <c r="W24" s="6">
        <f>IF(ISNUMBER(V24),IF(V24*Settings!$B$8&gt;1000,"beyond table",IFERROR(LOOKUP(V24*Settings!$B$8,'FOIS 145A'!$A$2:$A$22,'FOIS 145A'!$C$2:$C$22)*(1+IF(Settings!$B$11="Y",0,Settings!$B$10/100)),"")),"")</f>
        <v/>
      </c>
      <c r="X24" s="6">
        <f>IF(AND(ISNUMBER(U24),ISNUMBER(W24)),U24+W24,"")</f>
        <v/>
      </c>
      <c r="Y24">
        <f>Settings!$B$6</f>
        <v/>
      </c>
    </row>
    <row r="25">
      <c r="A25" s="4" t="inlineStr">
        <is>
          <t>Yes</t>
        </is>
      </c>
      <c r="B25" t="inlineStr">
        <is>
          <t>mine named in title; plant = tender city in Maharashtra</t>
        </is>
      </c>
      <c r="C25" t="inlineStr">
        <is>
          <t>Dharamjaigarh (Raigarh)</t>
        </is>
      </c>
      <c r="D25" t="n">
        <v>66</v>
      </c>
      <c r="E25" t="inlineStr"/>
      <c r="G25" t="n">
        <v>66</v>
      </c>
      <c r="H25" t="inlineStr">
        <is>
          <t>14761268</t>
        </is>
      </c>
      <c r="I25" t="inlineStr">
        <is>
          <t>2025_NTPC_98502_1</t>
        </is>
      </c>
      <c r="J25" t="inlineStr">
        <is>
          <t>coal transportation (20 lmt) from talaipalli mines to mouda stps under rcr mode via korichhapar siding</t>
        </is>
      </c>
      <c r="K25" t="inlineStr">
        <is>
          <t>Coal transport (RCR / siding)</t>
        </is>
      </c>
      <c r="L25" t="inlineStr">
        <is>
          <t>National Thermal Power Corporation Limited</t>
        </is>
      </c>
      <c r="M25" t="inlineStr">
        <is>
          <t>Maharashtra</t>
        </is>
      </c>
      <c r="N25" t="inlineStr">
        <is>
          <t>Nagpur</t>
        </is>
      </c>
      <c r="O25" s="5" t="n">
        <v>45870</v>
      </c>
      <c r="P25" t="inlineStr">
        <is>
          <t>Financial</t>
        </is>
      </c>
      <c r="Q25" t="inlineStr">
        <is>
          <t>-</t>
        </is>
      </c>
      <c r="R25" t="inlineStr">
        <is>
          <t>Anoop Road Carriers, Godavari Commodities, Indermani / Indramani</t>
        </is>
      </c>
      <c r="S25" t="inlineStr">
        <is>
          <t>5 named / 20</t>
        </is>
      </c>
      <c r="U25" s="6">
        <f>IF(ISNUMBER(G25),MAX(MAX(G25,Settings!$B$13)*Settings!$B$7*Settings!$B$5,IF(ISNUMBER(Settings!$B$12),Settings!$B$12,0))*(1+IF(Settings!$B$11="Y",0,Settings!$B$10/100))+N(Settings!$B$9),"")</f>
        <v/>
      </c>
      <c r="W25" s="6">
        <f>IF(ISNUMBER(V25),IF(V25*Settings!$B$8&gt;1000,"beyond table",IFERROR(LOOKUP(V25*Settings!$B$8,'FOIS 145A'!$A$2:$A$22,'FOIS 145A'!$C$2:$C$22)*(1+IF(Settings!$B$11="Y",0,Settings!$B$10/100)),"")),"")</f>
        <v/>
      </c>
      <c r="X25" s="6">
        <f>IF(AND(ISNUMBER(U25),ISNUMBER(W25)),U25+W25,"")</f>
        <v/>
      </c>
      <c r="Y25">
        <f>Settings!$B$6</f>
        <v/>
      </c>
    </row>
    <row r="26">
      <c r="A26" s="4" t="inlineStr">
        <is>
          <t>Yes</t>
        </is>
      </c>
      <c r="B26" t="inlineStr">
        <is>
          <t>plant/siding named in title</t>
        </is>
      </c>
      <c r="C26" t="inlineStr"/>
      <c r="E26" t="inlineStr">
        <is>
          <t>Dharamjaigarh (Raigarh)</t>
        </is>
      </c>
      <c r="F26" t="n">
        <v>66</v>
      </c>
      <c r="G26" t="n">
        <v>66</v>
      </c>
      <c r="H26" t="inlineStr">
        <is>
          <t>16814789</t>
        </is>
      </c>
      <c r="I26" t="inlineStr">
        <is>
          <t>GEM/2026/B/7315717</t>
        </is>
      </c>
      <c r="J26" t="inlineStr">
        <is>
          <t>coal transportation from ramnagore colliery to nspcl durgapur</t>
        </is>
      </c>
      <c r="K26" t="inlineStr">
        <is>
          <t>Coal transport (road)</t>
        </is>
      </c>
      <c r="L26" t="inlineStr">
        <is>
          <t>Ntpc-Sail Power Company Private Limited</t>
        </is>
      </c>
      <c r="M26" t="inlineStr">
        <is>
          <t>West Bengal</t>
        </is>
      </c>
      <c r="N26" t="inlineStr">
        <is>
          <t>Durgapur</t>
        </is>
      </c>
      <c r="O26" s="5" t="n">
        <v>46097</v>
      </c>
      <c r="P26" t="inlineStr">
        <is>
          <t>AOC</t>
        </is>
      </c>
      <c r="Q26" t="inlineStr">
        <is>
          <t>M/S United Coal Carriers</t>
        </is>
      </c>
      <c r="R26" t="inlineStr">
        <is>
          <t>United Coal Carriers</t>
        </is>
      </c>
      <c r="S26" t="inlineStr">
        <is>
          <t>5 named / 5</t>
        </is>
      </c>
      <c r="T26" t="n">
        <v>0.21</v>
      </c>
      <c r="U26" s="6">
        <f>IF(ISNUMBER(G26),MAX(MAX(G26,Settings!$B$13)*Settings!$B$7*Settings!$B$5,IF(ISNUMBER(Settings!$B$12),Settings!$B$12,0))*(1+IF(Settings!$B$11="Y",0,Settings!$B$10/100))+N(Settings!$B$9),"")</f>
        <v/>
      </c>
      <c r="W26" s="6">
        <f>IF(ISNUMBER(V26),IF(V26*Settings!$B$8&gt;1000,"beyond table",IFERROR(LOOKUP(V26*Settings!$B$8,'FOIS 145A'!$A$2:$A$22,'FOIS 145A'!$C$2:$C$22)*(1+IF(Settings!$B$11="Y",0,Settings!$B$10/100)),"")),"")</f>
        <v/>
      </c>
      <c r="X26" s="6">
        <f>IF(AND(ISNUMBER(U26),ISNUMBER(W26)),U26+W26,"")</f>
        <v/>
      </c>
      <c r="Y26">
        <f>Settings!$B$6</f>
        <v/>
      </c>
    </row>
    <row r="27">
      <c r="A27" s="4" t="inlineStr">
        <is>
          <t>Yes</t>
        </is>
      </c>
      <c r="B27" t="inlineStr">
        <is>
          <t>mine named in title</t>
        </is>
      </c>
      <c r="C27" t="inlineStr">
        <is>
          <t>Dharamjaigarh (Raigarh)</t>
        </is>
      </c>
      <c r="D27" t="n">
        <v>66</v>
      </c>
      <c r="E27" t="inlineStr"/>
      <c r="G27" t="n">
        <v>66</v>
      </c>
      <c r="H27" t="inlineStr">
        <is>
          <t>17065555</t>
        </is>
      </c>
      <c r="I27" t="inlineStr">
        <is>
          <t>GEM/2026/B/7067958</t>
        </is>
      </c>
      <c r="J27" t="inlineStr">
        <is>
          <t>handling service, handling &amp; transport service, ob removal, coal extraction, composite work for ob removal cutting loading transportation wagon loading of coal at durgapur ocm r..</t>
        </is>
      </c>
      <c r="K27" t="inlineStr">
        <is>
          <t>Mining services (OB / extraction)</t>
        </is>
      </c>
      <c r="L27" t="inlineStr">
        <is>
          <t>South Eastern Coalfields Limited</t>
        </is>
      </c>
      <c r="M27" t="inlineStr">
        <is>
          <t>Chhattisgarh</t>
        </is>
      </c>
      <c r="N27" t="inlineStr">
        <is>
          <t>Raigarh</t>
        </is>
      </c>
      <c r="O27" s="5" t="n">
        <v>46081</v>
      </c>
      <c r="P27" t="inlineStr">
        <is>
          <t>AOC</t>
        </is>
      </c>
      <c r="Q27" t="inlineStr">
        <is>
          <t>Sunil Kumar Agrawal</t>
        </is>
      </c>
      <c r="R27" t="inlineStr"/>
      <c r="S27" t="inlineStr">
        <is>
          <t>5 named / 11</t>
        </is>
      </c>
      <c r="T27" t="n">
        <v>4247.08</v>
      </c>
      <c r="U27" s="6">
        <f>IF(ISNUMBER(G27),MAX(MAX(G27,Settings!$B$13)*Settings!$B$7*Settings!$B$5,IF(ISNUMBER(Settings!$B$12),Settings!$B$12,0))*(1+IF(Settings!$B$11="Y",0,Settings!$B$10/100))+N(Settings!$B$9),"")</f>
        <v/>
      </c>
      <c r="W27" s="6">
        <f>IF(ISNUMBER(V27),IF(V27*Settings!$B$8&gt;1000,"beyond table",IFERROR(LOOKUP(V27*Settings!$B$8,'FOIS 145A'!$A$2:$A$22,'FOIS 145A'!$C$2:$C$22)*(1+IF(Settings!$B$11="Y",0,Settings!$B$10/100)),"")),"")</f>
        <v/>
      </c>
      <c r="X27" s="6">
        <f>IF(AND(ISNUMBER(U27),ISNUMBER(W27)),U27+W27,"")</f>
        <v/>
      </c>
      <c r="Y27">
        <f>Settings!$B$6</f>
        <v/>
      </c>
    </row>
    <row r="28">
      <c r="A28" s="4" t="inlineStr">
        <is>
          <t>Yes</t>
        </is>
      </c>
      <c r="B28" t="inlineStr">
        <is>
          <t>mine = coal company's tender city; siding = same area</t>
        </is>
      </c>
      <c r="C28" t="inlineStr">
        <is>
          <t>Sambalpur (tender city)</t>
        </is>
      </c>
      <c r="D28" t="n">
        <v>77</v>
      </c>
      <c r="E28" t="inlineStr">
        <is>
          <t>Sambalpur (tender city)</t>
        </is>
      </c>
      <c r="F28" t="n">
        <v>77</v>
      </c>
      <c r="G28" t="n">
        <v>77</v>
      </c>
      <c r="H28" t="inlineStr">
        <is>
          <t>12395907</t>
        </is>
      </c>
      <c r="I28" t="inlineStr">
        <is>
          <t>GEM/2024/B/5759091</t>
        </is>
      </c>
      <c r="J28" t="inlineStr">
        <is>
          <t>coal loading and transport</t>
        </is>
      </c>
      <c r="K28" t="inlineStr">
        <is>
          <t>Coal transport (road)</t>
        </is>
      </c>
      <c r="L28" t="inlineStr">
        <is>
          <t>Mahanadi Coalfields Limited</t>
        </is>
      </c>
      <c r="M28" t="inlineStr">
        <is>
          <t>Orissa</t>
        </is>
      </c>
      <c r="N28" t="inlineStr">
        <is>
          <t>Sambalpur</t>
        </is>
      </c>
      <c r="O28" s="5" t="n">
        <v>45670</v>
      </c>
      <c r="P28" t="inlineStr">
        <is>
          <t>AOC</t>
        </is>
      </c>
      <c r="Q28" t="inlineStr">
        <is>
          <t>Vlt Associates</t>
        </is>
      </c>
      <c r="R28" t="inlineStr"/>
      <c r="S28" t="inlineStr">
        <is>
          <t>5 named / 10</t>
        </is>
      </c>
      <c r="T28" t="n">
        <v>28</v>
      </c>
      <c r="U28" s="6">
        <f>IF(ISNUMBER(G28),MAX(MAX(G28,Settings!$B$13)*Settings!$B$7*Settings!$B$5,IF(ISNUMBER(Settings!$B$12),Settings!$B$12,0))*(1+IF(Settings!$B$11="Y",0,Settings!$B$10/100))+N(Settings!$B$9),"")</f>
        <v/>
      </c>
      <c r="W28" s="6">
        <f>IF(ISNUMBER(V28),IF(V28*Settings!$B$8&gt;1000,"beyond table",IFERROR(LOOKUP(V28*Settings!$B$8,'FOIS 145A'!$A$2:$A$22,'FOIS 145A'!$C$2:$C$22)*(1+IF(Settings!$B$11="Y",0,Settings!$B$10/100)),"")),"")</f>
        <v/>
      </c>
      <c r="X28" s="6">
        <f>IF(AND(ISNUMBER(U28),ISNUMBER(W28)),U28+W28,"")</f>
        <v/>
      </c>
      <c r="Y28">
        <f>Settings!$B$6</f>
        <v/>
      </c>
    </row>
    <row r="29">
      <c r="A29" s="4" t="inlineStr">
        <is>
          <t>Yes</t>
        </is>
      </c>
      <c r="B29" t="inlineStr">
        <is>
          <t>mine = coal company's tender city; siding = same area</t>
        </is>
      </c>
      <c r="C29" t="inlineStr">
        <is>
          <t>Korba (tender city)</t>
        </is>
      </c>
      <c r="D29" t="n">
        <v>88</v>
      </c>
      <c r="E29" t="inlineStr">
        <is>
          <t>Korba (tender city)</t>
        </is>
      </c>
      <c r="F29" t="n">
        <v>88</v>
      </c>
      <c r="G29" t="n">
        <v>88</v>
      </c>
      <c r="H29" t="inlineStr">
        <is>
          <t>16687336</t>
        </is>
      </c>
      <c r="I29" t="inlineStr">
        <is>
          <t>GEM/2025/B/7005420</t>
        </is>
      </c>
      <c r="J29" t="inlineStr">
        <is>
          <t>handling &amp; transport service, transport service, handling service, hiring of pay loader and tippers for coal loading at saraipali transportation and loading into wagons at korba..</t>
        </is>
      </c>
      <c r="K29" t="inlineStr">
        <is>
          <t>Coal transport (RCR / siding)</t>
        </is>
      </c>
      <c r="L29" t="inlineStr">
        <is>
          <t>South Eastern Coalfields Limited</t>
        </is>
      </c>
      <c r="M29" t="inlineStr">
        <is>
          <t>Chhattisgarh</t>
        </is>
      </c>
      <c r="N29" t="inlineStr">
        <is>
          <t>Korba</t>
        </is>
      </c>
      <c r="O29" s="5" t="n">
        <v>46024</v>
      </c>
      <c r="P29" t="inlineStr">
        <is>
          <t>AOC</t>
        </is>
      </c>
      <c r="Q29" t="inlineStr">
        <is>
          <t>G K Associates</t>
        </is>
      </c>
      <c r="R29" t="inlineStr">
        <is>
          <t>G K Associates</t>
        </is>
      </c>
      <c r="S29" t="inlineStr">
        <is>
          <t>5 named / 30</t>
        </is>
      </c>
      <c r="T29" t="n">
        <v>329.87</v>
      </c>
      <c r="U29" s="6">
        <f>IF(ISNUMBER(G29),MAX(MAX(G29,Settings!$B$13)*Settings!$B$7*Settings!$B$5,IF(ISNUMBER(Settings!$B$12),Settings!$B$12,0))*(1+IF(Settings!$B$11="Y",0,Settings!$B$10/100))+N(Settings!$B$9),"")</f>
        <v/>
      </c>
      <c r="W29" s="6">
        <f>IF(ISNUMBER(V29),IF(V29*Settings!$B$8&gt;1000,"beyond table",IFERROR(LOOKUP(V29*Settings!$B$8,'FOIS 145A'!$A$2:$A$22,'FOIS 145A'!$C$2:$C$22)*(1+IF(Settings!$B$11="Y",0,Settings!$B$10/100)),"")),"")</f>
        <v/>
      </c>
      <c r="X29" s="6">
        <f>IF(AND(ISNUMBER(U29),ISNUMBER(W29)),U29+W29,"")</f>
        <v/>
      </c>
      <c r="Y29">
        <f>Settings!$B$6</f>
        <v/>
      </c>
    </row>
    <row r="30">
      <c r="A30" s="4" t="inlineStr">
        <is>
          <t>Yes</t>
        </is>
      </c>
      <c r="B30" t="inlineStr">
        <is>
          <t>mine named in title; plant/siding named in title</t>
        </is>
      </c>
      <c r="C30" t="inlineStr">
        <is>
          <t>Korba</t>
        </is>
      </c>
      <c r="D30" t="n">
        <v>88</v>
      </c>
      <c r="E30" t="inlineStr">
        <is>
          <t>Korba</t>
        </is>
      </c>
      <c r="F30" t="n">
        <v>88</v>
      </c>
      <c r="G30" t="n">
        <v>88</v>
      </c>
      <c r="H30" t="inlineStr">
        <is>
          <t>16125779</t>
        </is>
      </c>
      <c r="I30" t="inlineStr">
        <is>
          <t>GEM/2025/B/6972824</t>
        </is>
      </c>
      <c r="J30" t="inlineStr">
        <is>
          <t>handling &amp; transport service, coal loading &amp; transportation from saraipali ocm to srk rl siding, korba</t>
        </is>
      </c>
      <c r="K30" t="inlineStr">
        <is>
          <t>Coal transport (RCR / siding)</t>
        </is>
      </c>
      <c r="L30" t="inlineStr">
        <is>
          <t>South Eastern Coalfields Limited</t>
        </is>
      </c>
      <c r="M30" t="inlineStr">
        <is>
          <t>Chhattisgarh</t>
        </is>
      </c>
      <c r="N30" t="inlineStr">
        <is>
          <t>Korba</t>
        </is>
      </c>
      <c r="O30" s="5" t="n">
        <v>46013</v>
      </c>
      <c r="P30" t="inlineStr">
        <is>
          <t>AOC</t>
        </is>
      </c>
      <c r="Q30" t="inlineStr">
        <is>
          <t>M/S Chandan Kumar Singh</t>
        </is>
      </c>
      <c r="R30" t="inlineStr">
        <is>
          <t>G K Associates, Chandan Kumar Singh</t>
        </is>
      </c>
      <c r="S30" t="inlineStr">
        <is>
          <t>5 named / 7</t>
        </is>
      </c>
      <c r="T30" t="n">
        <v>1.58</v>
      </c>
      <c r="U30" s="6">
        <f>IF(ISNUMBER(G30),MAX(MAX(G30,Settings!$B$13)*Settings!$B$7*Settings!$B$5,IF(ISNUMBER(Settings!$B$12),Settings!$B$12,0))*(1+IF(Settings!$B$11="Y",0,Settings!$B$10/100))+N(Settings!$B$9),"")</f>
        <v/>
      </c>
      <c r="W30" s="6">
        <f>IF(ISNUMBER(V30),IF(V30*Settings!$B$8&gt;1000,"beyond table",IFERROR(LOOKUP(V30*Settings!$B$8,'FOIS 145A'!$A$2:$A$22,'FOIS 145A'!$C$2:$C$22)*(1+IF(Settings!$B$11="Y",0,Settings!$B$10/100)),"")),"")</f>
        <v/>
      </c>
      <c r="X30" s="6">
        <f>IF(AND(ISNUMBER(U30),ISNUMBER(W30)),U30+W30,"")</f>
        <v/>
      </c>
      <c r="Y30">
        <f>Settings!$B$6</f>
        <v/>
      </c>
    </row>
    <row r="31">
      <c r="A31" s="4" t="inlineStr">
        <is>
          <t>Yes</t>
        </is>
      </c>
      <c r="B31" t="inlineStr">
        <is>
          <t>mine named in title</t>
        </is>
      </c>
      <c r="C31" t="inlineStr">
        <is>
          <t>Korba</t>
        </is>
      </c>
      <c r="D31" t="n">
        <v>88</v>
      </c>
      <c r="E31" t="inlineStr"/>
      <c r="G31" t="n">
        <v>88</v>
      </c>
      <c r="H31" t="inlineStr">
        <is>
          <t>16687380</t>
        </is>
      </c>
      <c r="I31" t="inlineStr">
        <is>
          <t>GEM/2026/B/7114126</t>
        </is>
      </c>
      <c r="J31" t="inlineStr">
        <is>
          <t>hiring of pay loaders and tippers for mechanical loading and transportation of coal at dipka oc expansion project, dipka area, secl for a period of 1096 days</t>
        </is>
      </c>
      <c r="K31" t="inlineStr">
        <is>
          <t>Coal transport (road)</t>
        </is>
      </c>
      <c r="L31" t="inlineStr">
        <is>
          <t>South Eastern Coalfields Limited</t>
        </is>
      </c>
      <c r="M31" t="inlineStr">
        <is>
          <t>Chhattisgarh</t>
        </is>
      </c>
      <c r="N31" t="inlineStr">
        <is>
          <t>Korba</t>
        </is>
      </c>
      <c r="O31" s="5" t="n">
        <v>46053</v>
      </c>
      <c r="P31" t="inlineStr">
        <is>
          <t>AOC</t>
        </is>
      </c>
      <c r="Q31" t="inlineStr">
        <is>
          <t>Maa Parwati Transport</t>
        </is>
      </c>
      <c r="R31" t="inlineStr"/>
      <c r="S31" t="inlineStr">
        <is>
          <t>5 named / 9</t>
        </is>
      </c>
      <c r="T31" t="n">
        <v>90.23999999999999</v>
      </c>
      <c r="U31" s="6">
        <f>IF(ISNUMBER(G31),MAX(MAX(G31,Settings!$B$13)*Settings!$B$7*Settings!$B$5,IF(ISNUMBER(Settings!$B$12),Settings!$B$12,0))*(1+IF(Settings!$B$11="Y",0,Settings!$B$10/100))+N(Settings!$B$9),"")</f>
        <v/>
      </c>
      <c r="W31" s="6">
        <f>IF(ISNUMBER(V31),IF(V31*Settings!$B$8&gt;1000,"beyond table",IFERROR(LOOKUP(V31*Settings!$B$8,'FOIS 145A'!$A$2:$A$22,'FOIS 145A'!$C$2:$C$22)*(1+IF(Settings!$B$11="Y",0,Settings!$B$10/100)),"")),"")</f>
        <v/>
      </c>
      <c r="X31" s="6">
        <f>IF(AND(ISNUMBER(U31),ISNUMBER(W31)),U31+W31,"")</f>
        <v/>
      </c>
      <c r="Y31">
        <f>Settings!$B$6</f>
        <v/>
      </c>
    </row>
    <row r="32">
      <c r="A32" s="4" t="inlineStr">
        <is>
          <t>Yes</t>
        </is>
      </c>
      <c r="B32" t="inlineStr">
        <is>
          <t>mine named in title</t>
        </is>
      </c>
      <c r="C32" t="inlineStr">
        <is>
          <t>Korba</t>
        </is>
      </c>
      <c r="D32" t="n">
        <v>88</v>
      </c>
      <c r="E32" t="inlineStr"/>
      <c r="G32" t="n">
        <v>88</v>
      </c>
      <c r="H32" t="inlineStr">
        <is>
          <t>16786403</t>
        </is>
      </c>
      <c r="I32" t="inlineStr">
        <is>
          <t>GEM/2025/B/6972482</t>
        </is>
      </c>
      <c r="J32" t="inlineStr">
        <is>
          <t>hiring of pay loader, mobile crusher and tippers for transportation of coal at gevra area secl</t>
        </is>
      </c>
      <c r="K32" t="inlineStr">
        <is>
          <t>Coal transport (road)</t>
        </is>
      </c>
      <c r="L32" t="inlineStr">
        <is>
          <t>South Eastern Coalfields Limited</t>
        </is>
      </c>
      <c r="M32" t="inlineStr">
        <is>
          <t>Chhattisgarh</t>
        </is>
      </c>
      <c r="N32" t="inlineStr">
        <is>
          <t>Korba</t>
        </is>
      </c>
      <c r="O32" s="5" t="n">
        <v>46023</v>
      </c>
      <c r="P32" t="inlineStr">
        <is>
          <t>AOC</t>
        </is>
      </c>
      <c r="Q32" t="inlineStr">
        <is>
          <t>Vikas Coal And Minerals Private Limited</t>
        </is>
      </c>
      <c r="R32" t="inlineStr">
        <is>
          <t>G K Associates</t>
        </is>
      </c>
      <c r="S32" t="inlineStr">
        <is>
          <t>5 named / 16</t>
        </is>
      </c>
      <c r="T32" t="n">
        <v>140.8</v>
      </c>
      <c r="U32" s="6">
        <f>IF(ISNUMBER(G32),MAX(MAX(G32,Settings!$B$13)*Settings!$B$7*Settings!$B$5,IF(ISNUMBER(Settings!$B$12),Settings!$B$12,0))*(1+IF(Settings!$B$11="Y",0,Settings!$B$10/100))+N(Settings!$B$9),"")</f>
        <v/>
      </c>
      <c r="W32" s="6">
        <f>IF(ISNUMBER(V32),IF(V32*Settings!$B$8&gt;1000,"beyond table",IFERROR(LOOKUP(V32*Settings!$B$8,'FOIS 145A'!$A$2:$A$22,'FOIS 145A'!$C$2:$C$22)*(1+IF(Settings!$B$11="Y",0,Settings!$B$10/100)),"")),"")</f>
        <v/>
      </c>
      <c r="X32" s="6">
        <f>IF(AND(ISNUMBER(U32),ISNUMBER(W32)),U32+W32,"")</f>
        <v/>
      </c>
      <c r="Y32">
        <f>Settings!$B$6</f>
        <v/>
      </c>
    </row>
    <row r="33">
      <c r="A33" s="4" t="inlineStr">
        <is>
          <t>Yes</t>
        </is>
      </c>
      <c r="B33" t="inlineStr">
        <is>
          <t>mine = coal company's tender city; siding = same area</t>
        </is>
      </c>
      <c r="C33" t="inlineStr">
        <is>
          <t>Korba (tender city)</t>
        </is>
      </c>
      <c r="D33" t="n">
        <v>88</v>
      </c>
      <c r="E33" t="inlineStr">
        <is>
          <t>Korba (tender city)</t>
        </is>
      </c>
      <c r="F33" t="n">
        <v>88</v>
      </c>
      <c r="G33" t="n">
        <v>88</v>
      </c>
      <c r="H33" t="inlineStr">
        <is>
          <t>15830605</t>
        </is>
      </c>
      <c r="I33" t="inlineStr">
        <is>
          <t>GEM/2025/B/6869302</t>
        </is>
      </c>
      <c r="J33" t="inlineStr">
        <is>
          <t>loading and transportation of coal</t>
        </is>
      </c>
      <c r="K33" t="inlineStr">
        <is>
          <t>Coal transport (road)</t>
        </is>
      </c>
      <c r="L33" t="inlineStr">
        <is>
          <t>South Eastern Coalfields Limited</t>
        </is>
      </c>
      <c r="M33" t="inlineStr">
        <is>
          <t>Chhattisgarh</t>
        </is>
      </c>
      <c r="N33" t="inlineStr">
        <is>
          <t>Korba</t>
        </is>
      </c>
      <c r="O33" s="5" t="n">
        <v>45989</v>
      </c>
      <c r="P33" t="inlineStr">
        <is>
          <t>AOC</t>
        </is>
      </c>
      <c r="Q33" t="inlineStr">
        <is>
          <t>G K Associates</t>
        </is>
      </c>
      <c r="R33" t="inlineStr">
        <is>
          <t>G K Associates</t>
        </is>
      </c>
      <c r="S33" t="inlineStr">
        <is>
          <t>3 named / 3</t>
        </is>
      </c>
      <c r="T33" t="n">
        <v>1.67</v>
      </c>
      <c r="U33" s="6">
        <f>IF(ISNUMBER(G33),MAX(MAX(G33,Settings!$B$13)*Settings!$B$7*Settings!$B$5,IF(ISNUMBER(Settings!$B$12),Settings!$B$12,0))*(1+IF(Settings!$B$11="Y",0,Settings!$B$10/100))+N(Settings!$B$9),"")</f>
        <v/>
      </c>
      <c r="W33" s="6">
        <f>IF(ISNUMBER(V33),IF(V33*Settings!$B$8&gt;1000,"beyond table",IFERROR(LOOKUP(V33*Settings!$B$8,'FOIS 145A'!$A$2:$A$22,'FOIS 145A'!$C$2:$C$22)*(1+IF(Settings!$B$11="Y",0,Settings!$B$10/100)),"")),"")</f>
        <v/>
      </c>
      <c r="X33" s="6">
        <f>IF(AND(ISNUMBER(U33),ISNUMBER(W33)),U33+W33,"")</f>
        <v/>
      </c>
      <c r="Y33">
        <f>Settings!$B$6</f>
        <v/>
      </c>
    </row>
    <row r="34">
      <c r="A34" s="4" t="inlineStr">
        <is>
          <t>Yes</t>
        </is>
      </c>
      <c r="B34" t="inlineStr">
        <is>
          <t>mine = coal company's tender city; siding = same area</t>
        </is>
      </c>
      <c r="C34" t="inlineStr">
        <is>
          <t>Korba (tender city)</t>
        </is>
      </c>
      <c r="D34" t="n">
        <v>88</v>
      </c>
      <c r="E34" t="inlineStr">
        <is>
          <t>Korba (tender city)</t>
        </is>
      </c>
      <c r="F34" t="n">
        <v>88</v>
      </c>
      <c r="G34" t="n">
        <v>88</v>
      </c>
      <c r="H34" t="inlineStr">
        <is>
          <t>14287776</t>
        </is>
      </c>
      <c r="I34" t="inlineStr">
        <is>
          <t>GEM/2025/B/6337006</t>
        </is>
      </c>
      <c r="J34" t="inlineStr">
        <is>
          <t>loading and transportation</t>
        </is>
      </c>
      <c r="K34" t="inlineStr">
        <is>
          <t>Coal transport (road)</t>
        </is>
      </c>
      <c r="L34" t="inlineStr">
        <is>
          <t>South Eastern Coalfields Limited</t>
        </is>
      </c>
      <c r="M34" t="inlineStr">
        <is>
          <t>Chhattisgarh</t>
        </is>
      </c>
      <c r="N34" t="inlineStr">
        <is>
          <t>Korba</t>
        </is>
      </c>
      <c r="O34" s="5" t="n">
        <v>45836</v>
      </c>
      <c r="P34" t="inlineStr">
        <is>
          <t>AOC</t>
        </is>
      </c>
      <c r="Q34" t="inlineStr">
        <is>
          <t>Rakesh Kumar Enterprises</t>
        </is>
      </c>
      <c r="R34" t="inlineStr">
        <is>
          <t>G K Associates</t>
        </is>
      </c>
      <c r="S34" t="inlineStr">
        <is>
          <t>5 named / 6</t>
        </is>
      </c>
      <c r="T34" t="n">
        <v>1.9</v>
      </c>
      <c r="U34" s="6">
        <f>IF(ISNUMBER(G34),MAX(MAX(G34,Settings!$B$13)*Settings!$B$7*Settings!$B$5,IF(ISNUMBER(Settings!$B$12),Settings!$B$12,0))*(1+IF(Settings!$B$11="Y",0,Settings!$B$10/100))+N(Settings!$B$9),"")</f>
        <v/>
      </c>
      <c r="W34" s="6">
        <f>IF(ISNUMBER(V34),IF(V34*Settings!$B$8&gt;1000,"beyond table",IFERROR(LOOKUP(V34*Settings!$B$8,'FOIS 145A'!$A$2:$A$22,'FOIS 145A'!$C$2:$C$22)*(1+IF(Settings!$B$11="Y",0,Settings!$B$10/100)),"")),"")</f>
        <v/>
      </c>
      <c r="X34" s="6">
        <f>IF(AND(ISNUMBER(U34),ISNUMBER(W34)),U34+W34,"")</f>
        <v/>
      </c>
      <c r="Y34">
        <f>Settings!$B$6</f>
        <v/>
      </c>
    </row>
    <row r="35">
      <c r="A35" s="4" t="inlineStr">
        <is>
          <t>Yes</t>
        </is>
      </c>
      <c r="B35" t="inlineStr">
        <is>
          <t>mine named in title</t>
        </is>
      </c>
      <c r="C35" t="inlineStr">
        <is>
          <t>Korba</t>
        </is>
      </c>
      <c r="D35" t="n">
        <v>88</v>
      </c>
      <c r="E35" t="inlineStr"/>
      <c r="G35" t="n">
        <v>88</v>
      </c>
      <c r="H35" t="inlineStr">
        <is>
          <t>17670369</t>
        </is>
      </c>
      <c r="I35" t="inlineStr">
        <is>
          <t>GEM/2026/B/7435893</t>
        </is>
      </c>
      <c r="J35" t="inlineStr">
        <is>
          <t>handling service, excavator with crusher bucket system with screening and loading of coal into tippers at kusmunda oc kusmunda area</t>
        </is>
      </c>
      <c r="K35" t="inlineStr">
        <is>
          <t>Loading / handling / crushing</t>
        </is>
      </c>
      <c r="L35" t="inlineStr">
        <is>
          <t>South Eastern Coalfields Limited</t>
        </is>
      </c>
      <c r="M35" t="inlineStr">
        <is>
          <t>Chhattisgarh</t>
        </is>
      </c>
      <c r="N35" t="inlineStr">
        <is>
          <t>Korba</t>
        </is>
      </c>
      <c r="O35" s="5" t="n">
        <v>46156</v>
      </c>
      <c r="P35" t="inlineStr">
        <is>
          <t>AOC</t>
        </is>
      </c>
      <c r="Q35" t="inlineStr">
        <is>
          <t>Fsnl Private Limited, Maa Sarwamangla Transport Company</t>
        </is>
      </c>
      <c r="R35" t="inlineStr"/>
      <c r="S35" t="inlineStr">
        <is>
          <t>5 named / 8</t>
        </is>
      </c>
      <c r="T35" t="n">
        <v>24.94</v>
      </c>
      <c r="U35" s="6">
        <f>IF(ISNUMBER(G35),MAX(MAX(G35,Settings!$B$13)*Settings!$B$7*Settings!$B$5,IF(ISNUMBER(Settings!$B$12),Settings!$B$12,0))*(1+IF(Settings!$B$11="Y",0,Settings!$B$10/100))+N(Settings!$B$9),"")</f>
        <v/>
      </c>
      <c r="W35" s="6">
        <f>IF(ISNUMBER(V35),IF(V35*Settings!$B$8&gt;1000,"beyond table",IFERROR(LOOKUP(V35*Settings!$B$8,'FOIS 145A'!$A$2:$A$22,'FOIS 145A'!$C$2:$C$22)*(1+IF(Settings!$B$11="Y",0,Settings!$B$10/100)),"")),"")</f>
        <v/>
      </c>
      <c r="X35" s="6">
        <f>IF(AND(ISNUMBER(U35),ISNUMBER(W35)),U35+W35,"")</f>
        <v/>
      </c>
      <c r="Y35">
        <f>Settings!$B$6</f>
        <v/>
      </c>
    </row>
    <row r="36">
      <c r="A36" s="4" t="inlineStr">
        <is>
          <t>Yes</t>
        </is>
      </c>
      <c r="B36" t="inlineStr">
        <is>
          <t>mine = coal company's tender city; siding = same area</t>
        </is>
      </c>
      <c r="C36" t="inlineStr">
        <is>
          <t>Korba (tender city)</t>
        </is>
      </c>
      <c r="D36" t="n">
        <v>88</v>
      </c>
      <c r="E36" t="inlineStr">
        <is>
          <t>Korba (tender city)</t>
        </is>
      </c>
      <c r="F36" t="n">
        <v>88</v>
      </c>
      <c r="G36" t="n">
        <v>88</v>
      </c>
      <c r="H36" t="inlineStr">
        <is>
          <t>15659451</t>
        </is>
      </c>
      <c r="I36" t="inlineStr">
        <is>
          <t>GEM/2025/B/6627991</t>
        </is>
      </c>
      <c r="J36" t="inlineStr">
        <is>
          <t>handling service, transpor</t>
        </is>
      </c>
      <c r="K36" t="inlineStr">
        <is>
          <t>Loading / handling / crushing</t>
        </is>
      </c>
      <c r="L36" t="inlineStr">
        <is>
          <t>South Eastern Coalfields Limited</t>
        </is>
      </c>
      <c r="M36" t="inlineStr">
        <is>
          <t>Chhattisgarh</t>
        </is>
      </c>
      <c r="N36" t="inlineStr">
        <is>
          <t>Korba</t>
        </is>
      </c>
      <c r="O36" s="5" t="n">
        <v>45923</v>
      </c>
      <c r="P36" t="inlineStr">
        <is>
          <t>AOC</t>
        </is>
      </c>
      <c r="Q36" t="inlineStr">
        <is>
          <t>Harsh Roadlines Private Limited</t>
        </is>
      </c>
      <c r="R36" t="inlineStr">
        <is>
          <t>Orissa Stevedores</t>
        </is>
      </c>
      <c r="S36" t="inlineStr">
        <is>
          <t>5 named / 8</t>
        </is>
      </c>
      <c r="T36" t="n">
        <v>82.78</v>
      </c>
      <c r="U36" s="6">
        <f>IF(ISNUMBER(G36),MAX(MAX(G36,Settings!$B$13)*Settings!$B$7*Settings!$B$5,IF(ISNUMBER(Settings!$B$12),Settings!$B$12,0))*(1+IF(Settings!$B$11="Y",0,Settings!$B$10/100))+N(Settings!$B$9),"")</f>
        <v/>
      </c>
      <c r="W36" s="6">
        <f>IF(ISNUMBER(V36),IF(V36*Settings!$B$8&gt;1000,"beyond table",IFERROR(LOOKUP(V36*Settings!$B$8,'FOIS 145A'!$A$2:$A$22,'FOIS 145A'!$C$2:$C$22)*(1+IF(Settings!$B$11="Y",0,Settings!$B$10/100)),"")),"")</f>
        <v/>
      </c>
      <c r="X36" s="6">
        <f>IF(AND(ISNUMBER(U36),ISNUMBER(W36)),U36+W36,"")</f>
        <v/>
      </c>
      <c r="Y36">
        <f>Settings!$B$6</f>
        <v/>
      </c>
    </row>
    <row r="37">
      <c r="A37" s="4" t="inlineStr">
        <is>
          <t>Yes</t>
        </is>
      </c>
      <c r="B37" t="inlineStr">
        <is>
          <t>mine = coal company's tender city; siding = same area</t>
        </is>
      </c>
      <c r="C37" t="inlineStr">
        <is>
          <t>Korba (tender city)</t>
        </is>
      </c>
      <c r="D37" t="n">
        <v>88</v>
      </c>
      <c r="E37" t="inlineStr">
        <is>
          <t>Korba (tender city)</t>
        </is>
      </c>
      <c r="F37" t="n">
        <v>88</v>
      </c>
      <c r="G37" t="n">
        <v>88</v>
      </c>
      <c r="H37" t="inlineStr">
        <is>
          <t>17304517</t>
        </is>
      </c>
      <c r="I37" t="inlineStr">
        <is>
          <t>GEM/2026/B/7372908</t>
        </is>
      </c>
      <c r="J37" t="inlineStr">
        <is>
          <t>handling service, transport service, handling &amp; transport service, ob removal, composite work for ob removal coal cutting by surface miner and loading and transportation of coal..</t>
        </is>
      </c>
      <c r="K37" t="inlineStr">
        <is>
          <t>Mining services (OB / extraction)</t>
        </is>
      </c>
      <c r="L37" t="inlineStr">
        <is>
          <t>South Eastern Coalfields Limited</t>
        </is>
      </c>
      <c r="M37" t="inlineStr">
        <is>
          <t>Chhattisgarh</t>
        </is>
      </c>
      <c r="N37" t="inlineStr">
        <is>
          <t>Korba</t>
        </is>
      </c>
      <c r="O37" s="5" t="n">
        <v>46135</v>
      </c>
      <c r="P37" t="inlineStr">
        <is>
          <t>AOC</t>
        </is>
      </c>
      <c r="Q37" t="inlineStr">
        <is>
          <t>Knr Constructions Limited</t>
        </is>
      </c>
      <c r="R37" t="inlineStr"/>
      <c r="S37" t="inlineStr">
        <is>
          <t>5 named / 8</t>
        </is>
      </c>
      <c r="T37" t="n">
        <v>3966.12</v>
      </c>
      <c r="U37" s="6">
        <f>IF(ISNUMBER(G37),MAX(MAX(G37,Settings!$B$13)*Settings!$B$7*Settings!$B$5,IF(ISNUMBER(Settings!$B$12),Settings!$B$12,0))*(1+IF(Settings!$B$11="Y",0,Settings!$B$10/100))+N(Settings!$B$9),"")</f>
        <v/>
      </c>
      <c r="W37" s="6">
        <f>IF(ISNUMBER(V37),IF(V37*Settings!$B$8&gt;1000,"beyond table",IFERROR(LOOKUP(V37*Settings!$B$8,'FOIS 145A'!$A$2:$A$22,'FOIS 145A'!$C$2:$C$22)*(1+IF(Settings!$B$11="Y",0,Settings!$B$10/100)),"")),"")</f>
        <v/>
      </c>
      <c r="X37" s="6">
        <f>IF(AND(ISNUMBER(U37),ISNUMBER(W37)),U37+W37,"")</f>
        <v/>
      </c>
      <c r="Y37">
        <f>Settings!$B$6</f>
        <v/>
      </c>
    </row>
    <row r="38">
      <c r="A38" s="4" t="inlineStr">
        <is>
          <t>Yes</t>
        </is>
      </c>
      <c r="B38" t="inlineStr">
        <is>
          <t>mine named in title</t>
        </is>
      </c>
      <c r="C38" t="inlineStr">
        <is>
          <t>Korba</t>
        </is>
      </c>
      <c r="D38" t="n">
        <v>88</v>
      </c>
      <c r="E38" t="inlineStr"/>
      <c r="G38" t="n">
        <v>88</v>
      </c>
      <c r="H38" t="inlineStr">
        <is>
          <t>16765105</t>
        </is>
      </c>
      <c r="I38" t="inlineStr">
        <is>
          <t>GEM/2025/B/7003673</t>
        </is>
      </c>
      <c r="J38" t="inlineStr">
        <is>
          <t>ob removal, handling &amp; transport service, hiring of hemm for ob removal and coal drilling with loading and transportation at manikpur ocp korba area</t>
        </is>
      </c>
      <c r="K38" t="inlineStr">
        <is>
          <t>Mining services (OB / extraction)</t>
        </is>
      </c>
      <c r="L38" t="inlineStr">
        <is>
          <t>South Eastern Coalfields Limited</t>
        </is>
      </c>
      <c r="M38" t="inlineStr">
        <is>
          <t>Chhattisgarh</t>
        </is>
      </c>
      <c r="N38" t="inlineStr">
        <is>
          <t>Korba</t>
        </is>
      </c>
      <c r="O38" s="5" t="n">
        <v>46043</v>
      </c>
      <c r="P38" t="inlineStr">
        <is>
          <t>AOC</t>
        </is>
      </c>
      <c r="Q38" t="inlineStr">
        <is>
          <t>Orissa Stevedores Limited</t>
        </is>
      </c>
      <c r="R38" t="inlineStr"/>
      <c r="S38" t="inlineStr">
        <is>
          <t>5 named / 10</t>
        </is>
      </c>
      <c r="T38" t="n">
        <v>1775.85</v>
      </c>
      <c r="U38" s="6">
        <f>IF(ISNUMBER(G38),MAX(MAX(G38,Settings!$B$13)*Settings!$B$7*Settings!$B$5,IF(ISNUMBER(Settings!$B$12),Settings!$B$12,0))*(1+IF(Settings!$B$11="Y",0,Settings!$B$10/100))+N(Settings!$B$9),"")</f>
        <v/>
      </c>
      <c r="W38" s="6">
        <f>IF(ISNUMBER(V38),IF(V38*Settings!$B$8&gt;1000,"beyond table",IFERROR(LOOKUP(V38*Settings!$B$8,'FOIS 145A'!$A$2:$A$22,'FOIS 145A'!$C$2:$C$22)*(1+IF(Settings!$B$11="Y",0,Settings!$B$10/100)),"")),"")</f>
        <v/>
      </c>
      <c r="X38" s="6">
        <f>IF(AND(ISNUMBER(U38),ISNUMBER(W38)),U38+W38,"")</f>
        <v/>
      </c>
      <c r="Y38">
        <f>Settings!$B$6</f>
        <v/>
      </c>
    </row>
    <row r="39">
      <c r="A39" s="4" t="inlineStr">
        <is>
          <t>Yes</t>
        </is>
      </c>
      <c r="B39" t="inlineStr">
        <is>
          <t>mine = coal company's tender city; siding = same area</t>
        </is>
      </c>
      <c r="C39" t="inlineStr">
        <is>
          <t>Korba (tender city)</t>
        </is>
      </c>
      <c r="D39" t="n">
        <v>88</v>
      </c>
      <c r="E39" t="inlineStr">
        <is>
          <t>Korba (tender city)</t>
        </is>
      </c>
      <c r="F39" t="n">
        <v>88</v>
      </c>
      <c r="G39" t="n">
        <v>88</v>
      </c>
      <c r="H39" t="inlineStr">
        <is>
          <t>16245601</t>
        </is>
      </c>
      <c r="I39" t="inlineStr">
        <is>
          <t>GEM/2025/B/6729097</t>
        </is>
      </c>
      <c r="J39" t="inlineStr">
        <is>
          <t>hiring of pay loader incorporated with weight sensors for mechanical transfer of coal into railway wagons for a quantity of 17520000 te with minimum tpd16000 te for a period of ..</t>
        </is>
      </c>
      <c r="K39" t="inlineStr">
        <is>
          <t>Other</t>
        </is>
      </c>
      <c r="L39" t="inlineStr">
        <is>
          <t>South Eastern Coalfields Limited</t>
        </is>
      </c>
      <c r="M39" t="inlineStr">
        <is>
          <t>Chhattisgarh</t>
        </is>
      </c>
      <c r="N39" t="inlineStr">
        <is>
          <t>Korba</t>
        </is>
      </c>
      <c r="O39" s="5" t="n">
        <v>45948</v>
      </c>
      <c r="P39" t="inlineStr">
        <is>
          <t>AOC</t>
        </is>
      </c>
      <c r="Q39" t="inlineStr">
        <is>
          <t>Sat Kartar Logistics</t>
        </is>
      </c>
      <c r="R39" t="inlineStr"/>
      <c r="S39" t="inlineStr">
        <is>
          <t>5 named / 19</t>
        </is>
      </c>
      <c r="T39" t="n">
        <v>14.89</v>
      </c>
      <c r="U39" s="6">
        <f>IF(ISNUMBER(G39),MAX(MAX(G39,Settings!$B$13)*Settings!$B$7*Settings!$B$5,IF(ISNUMBER(Settings!$B$12),Settings!$B$12,0))*(1+IF(Settings!$B$11="Y",0,Settings!$B$10/100))+N(Settings!$B$9),"")</f>
        <v/>
      </c>
      <c r="W39" s="6">
        <f>IF(ISNUMBER(V39),IF(V39*Settings!$B$8&gt;1000,"beyond table",IFERROR(LOOKUP(V39*Settings!$B$8,'FOIS 145A'!$A$2:$A$22,'FOIS 145A'!$C$2:$C$22)*(1+IF(Settings!$B$11="Y",0,Settings!$B$10/100)),"")),"")</f>
        <v/>
      </c>
      <c r="X39" s="6">
        <f>IF(AND(ISNUMBER(U39),ISNUMBER(W39)),U39+W39,"")</f>
        <v/>
      </c>
      <c r="Y39">
        <f>Settings!$B$6</f>
        <v/>
      </c>
    </row>
    <row r="40">
      <c r="A40" s="4" t="inlineStr">
        <is>
          <t>Yes</t>
        </is>
      </c>
      <c r="B40" t="inlineStr">
        <is>
          <t>mine = coal company's tender city; siding = same area</t>
        </is>
      </c>
      <c r="C40" t="inlineStr">
        <is>
          <t>Korba (tender city)</t>
        </is>
      </c>
      <c r="D40" t="n">
        <v>88</v>
      </c>
      <c r="E40" t="inlineStr">
        <is>
          <t>Korba (tender city)</t>
        </is>
      </c>
      <c r="F40" t="n">
        <v>88</v>
      </c>
      <c r="G40" t="n">
        <v>88</v>
      </c>
      <c r="H40" t="inlineStr">
        <is>
          <t>12743621</t>
        </is>
      </c>
      <c r="I40" t="inlineStr">
        <is>
          <t>GEM/2025/B/5926593</t>
        </is>
      </c>
      <c r="J40" t="inlineStr">
        <is>
          <t>hiring of payloaders and t</t>
        </is>
      </c>
      <c r="K40" t="inlineStr">
        <is>
          <t>Other</t>
        </is>
      </c>
      <c r="L40" t="inlineStr">
        <is>
          <t>South Eastern Coalfields Limited</t>
        </is>
      </c>
      <c r="M40" t="inlineStr">
        <is>
          <t>Chhattisgarh</t>
        </is>
      </c>
      <c r="N40" t="inlineStr">
        <is>
          <t>Korba</t>
        </is>
      </c>
      <c r="O40" s="5" t="n">
        <v>45712</v>
      </c>
      <c r="P40" t="inlineStr">
        <is>
          <t>AOC</t>
        </is>
      </c>
      <c r="Q40" t="inlineStr">
        <is>
          <t>Harsh Roadlines Private Limited</t>
        </is>
      </c>
      <c r="R40" t="inlineStr"/>
      <c r="S40" t="inlineStr">
        <is>
          <t>5 named / 7</t>
        </is>
      </c>
      <c r="T40" t="n">
        <v>2.41</v>
      </c>
      <c r="U40" s="6">
        <f>IF(ISNUMBER(G40),MAX(MAX(G40,Settings!$B$13)*Settings!$B$7*Settings!$B$5,IF(ISNUMBER(Settings!$B$12),Settings!$B$12,0))*(1+IF(Settings!$B$11="Y",0,Settings!$B$10/100))+N(Settings!$B$9),"")</f>
        <v/>
      </c>
      <c r="W40" s="6">
        <f>IF(ISNUMBER(V40),IF(V40*Settings!$B$8&gt;1000,"beyond table",IFERROR(LOOKUP(V40*Settings!$B$8,'FOIS 145A'!$A$2:$A$22,'FOIS 145A'!$C$2:$C$22)*(1+IF(Settings!$B$11="Y",0,Settings!$B$10/100)),"")),"")</f>
        <v/>
      </c>
      <c r="X40" s="6">
        <f>IF(AND(ISNUMBER(U40),ISNUMBER(W40)),U40+W40,"")</f>
        <v/>
      </c>
      <c r="Y40">
        <f>Settings!$B$6</f>
        <v/>
      </c>
    </row>
    <row r="41">
      <c r="A41" s="4" t="inlineStr">
        <is>
          <t>Yes</t>
        </is>
      </c>
      <c r="B41" t="inlineStr">
        <is>
          <t>mine = coal company's tender city; siding = same area</t>
        </is>
      </c>
      <c r="C41" t="inlineStr">
        <is>
          <t>Bilaspur / Sipat (tender city)</t>
        </is>
      </c>
      <c r="D41" t="n">
        <v>130</v>
      </c>
      <c r="E41" t="inlineStr">
        <is>
          <t>Bilaspur / Sipat (tender city)</t>
        </is>
      </c>
      <c r="F41" t="n">
        <v>130</v>
      </c>
      <c r="G41" t="n">
        <v>130</v>
      </c>
      <c r="H41" t="inlineStr">
        <is>
          <t>13684513</t>
        </is>
      </c>
      <c r="I41" t="inlineStr">
        <is>
          <t>GEM/2025/B/6210677</t>
        </is>
      </c>
      <c r="J41" t="inlineStr">
        <is>
          <t>handling &amp; transport servi</t>
        </is>
      </c>
      <c r="K41" t="inlineStr">
        <is>
          <t>Coal transport (road)</t>
        </is>
      </c>
      <c r="L41" t="inlineStr">
        <is>
          <t>South Eastern Coalfields Limited</t>
        </is>
      </c>
      <c r="M41" t="inlineStr">
        <is>
          <t>Chhattisgarh</t>
        </is>
      </c>
      <c r="N41" t="inlineStr">
        <is>
          <t>Bilaspur</t>
        </is>
      </c>
      <c r="O41" s="5" t="n">
        <v>45801</v>
      </c>
      <c r="P41" t="inlineStr">
        <is>
          <t>AOC</t>
        </is>
      </c>
      <c r="Q41" t="inlineStr">
        <is>
          <t>Sat Kartar Logistics</t>
        </is>
      </c>
      <c r="R41" t="inlineStr">
        <is>
          <t>G K Associates</t>
        </is>
      </c>
      <c r="S41" t="inlineStr">
        <is>
          <t>5 named / 16</t>
        </is>
      </c>
      <c r="T41" t="n">
        <v>63.2</v>
      </c>
      <c r="U41" s="6">
        <f>IF(ISNUMBER(G41),MAX(MAX(G41,Settings!$B$13)*Settings!$B$7*Settings!$B$5,IF(ISNUMBER(Settings!$B$12),Settings!$B$12,0))*(1+IF(Settings!$B$11="Y",0,Settings!$B$10/100))+N(Settings!$B$9),"")</f>
        <v/>
      </c>
      <c r="W41" s="6">
        <f>IF(ISNUMBER(V41),IF(V41*Settings!$B$8&gt;1000,"beyond table",IFERROR(LOOKUP(V41*Settings!$B$8,'FOIS 145A'!$A$2:$A$22,'FOIS 145A'!$C$2:$C$22)*(1+IF(Settings!$B$11="Y",0,Settings!$B$10/100)),"")),"")</f>
        <v/>
      </c>
      <c r="X41" s="6">
        <f>IF(AND(ISNUMBER(U41),ISNUMBER(W41)),U41+W41,"")</f>
        <v/>
      </c>
      <c r="Y41">
        <f>Settings!$B$6</f>
        <v/>
      </c>
    </row>
    <row r="42">
      <c r="A42" s="4" t="inlineStr">
        <is>
          <t>Yes</t>
        </is>
      </c>
      <c r="B42" t="inlineStr">
        <is>
          <t>mine = coal company's tender city; siding = same area</t>
        </is>
      </c>
      <c r="C42" t="inlineStr">
        <is>
          <t>Bilaspur / Sipat (tender city)</t>
        </is>
      </c>
      <c r="D42" t="n">
        <v>130</v>
      </c>
      <c r="E42" t="inlineStr">
        <is>
          <t>Bilaspur / Sipat (tender city)</t>
        </is>
      </c>
      <c r="F42" t="n">
        <v>130</v>
      </c>
      <c r="G42" t="n">
        <v>130</v>
      </c>
      <c r="H42" t="inlineStr">
        <is>
          <t>12395784</t>
        </is>
      </c>
      <c r="I42" t="inlineStr">
        <is>
          <t>GEM/2024/B/5755957</t>
        </is>
      </c>
      <c r="J42" t="inlineStr">
        <is>
          <t>loading  transportation of</t>
        </is>
      </c>
      <c r="K42" t="inlineStr">
        <is>
          <t>Coal transport (road)</t>
        </is>
      </c>
      <c r="L42" t="inlineStr">
        <is>
          <t>South Eastern Coalfields Limited</t>
        </is>
      </c>
      <c r="M42" t="inlineStr">
        <is>
          <t>Chhattisgarh</t>
        </is>
      </c>
      <c r="N42" t="inlineStr">
        <is>
          <t>Bilaspur</t>
        </is>
      </c>
      <c r="O42" s="5" t="n">
        <v>45670</v>
      </c>
      <c r="P42" t="inlineStr">
        <is>
          <t>AOC</t>
        </is>
      </c>
      <c r="Q42" t="inlineStr">
        <is>
          <t>Agro Fuel Corporation</t>
        </is>
      </c>
      <c r="R42" t="inlineStr">
        <is>
          <t>G K Associates</t>
        </is>
      </c>
      <c r="S42" t="inlineStr">
        <is>
          <t>3 named / 3</t>
        </is>
      </c>
      <c r="T42" t="n">
        <v>13.4</v>
      </c>
      <c r="U42" s="6">
        <f>IF(ISNUMBER(G42),MAX(MAX(G42,Settings!$B$13)*Settings!$B$7*Settings!$B$5,IF(ISNUMBER(Settings!$B$12),Settings!$B$12,0))*(1+IF(Settings!$B$11="Y",0,Settings!$B$10/100))+N(Settings!$B$9),"")</f>
        <v/>
      </c>
      <c r="W42" s="6">
        <f>IF(ISNUMBER(V42),IF(V42*Settings!$B$8&gt;1000,"beyond table",IFERROR(LOOKUP(V42*Settings!$B$8,'FOIS 145A'!$A$2:$A$22,'FOIS 145A'!$C$2:$C$22)*(1+IF(Settings!$B$11="Y",0,Settings!$B$10/100)),"")),"")</f>
        <v/>
      </c>
      <c r="X42" s="6">
        <f>IF(AND(ISNUMBER(U42),ISNUMBER(W42)),U42+W42,"")</f>
        <v/>
      </c>
      <c r="Y42">
        <f>Settings!$B$6</f>
        <v/>
      </c>
    </row>
    <row r="43">
      <c r="A43" s="4" t="inlineStr">
        <is>
          <t>Yes</t>
        </is>
      </c>
      <c r="B43" t="inlineStr">
        <is>
          <t>mine named in title; plant/siding named in title</t>
        </is>
      </c>
      <c r="C43" t="inlineStr">
        <is>
          <t>Ambikapur / Surguja</t>
        </is>
      </c>
      <c r="D43" t="n">
        <v>137</v>
      </c>
      <c r="E43" t="inlineStr">
        <is>
          <t>Ambikapur / Surguja</t>
        </is>
      </c>
      <c r="F43" t="n">
        <v>137</v>
      </c>
      <c r="G43" t="n">
        <v>137</v>
      </c>
      <c r="H43" t="inlineStr">
        <is>
          <t>16797732</t>
        </is>
      </c>
      <c r="I43" t="inlineStr">
        <is>
          <t>GEM/2026/B/7219163</t>
        </is>
      </c>
      <c r="J43" t="inlineStr">
        <is>
          <t>proposal for hiring of tippers for transportation of 63000 tes of g 7 grade coal from ketki ug mine stock yard to mahan ii wharf wall siding of bhatgaon area via weigh bridge at..</t>
        </is>
      </c>
      <c r="K43" t="inlineStr">
        <is>
          <t>Coal transport (RCR / siding)</t>
        </is>
      </c>
      <c r="L43" t="inlineStr">
        <is>
          <t>South Eastern Coalfields Limited</t>
        </is>
      </c>
      <c r="M43" t="inlineStr">
        <is>
          <t>Chhattisgarh</t>
        </is>
      </c>
      <c r="N43" t="inlineStr">
        <is>
          <t>Surguja</t>
        </is>
      </c>
      <c r="O43" s="5" t="n">
        <v>46079</v>
      </c>
      <c r="P43" t="inlineStr">
        <is>
          <t>AOC</t>
        </is>
      </c>
      <c r="Q43" t="inlineStr">
        <is>
          <t>M/S Chandan Kumar Singh</t>
        </is>
      </c>
      <c r="R43" t="inlineStr">
        <is>
          <t>G K Associates, Chandan Kumar Singh</t>
        </is>
      </c>
      <c r="S43" t="inlineStr">
        <is>
          <t>5 named / 6</t>
        </is>
      </c>
      <c r="T43" t="n">
        <v>1.21</v>
      </c>
      <c r="U43" s="6">
        <f>IF(ISNUMBER(G43),MAX(MAX(G43,Settings!$B$13)*Settings!$B$7*Settings!$B$5,IF(ISNUMBER(Settings!$B$12),Settings!$B$12,0))*(1+IF(Settings!$B$11="Y",0,Settings!$B$10/100))+N(Settings!$B$9),"")</f>
        <v/>
      </c>
      <c r="W43" s="6">
        <f>IF(ISNUMBER(V43),IF(V43*Settings!$B$8&gt;1000,"beyond table",IFERROR(LOOKUP(V43*Settings!$B$8,'FOIS 145A'!$A$2:$A$22,'FOIS 145A'!$C$2:$C$22)*(1+IF(Settings!$B$11="Y",0,Settings!$B$10/100)),"")),"")</f>
        <v/>
      </c>
      <c r="X43" s="6">
        <f>IF(AND(ISNUMBER(U43),ISNUMBER(W43)),U43+W43,"")</f>
        <v/>
      </c>
      <c r="Y43">
        <f>Settings!$B$6</f>
        <v/>
      </c>
    </row>
    <row r="44">
      <c r="A44" s="4" t="inlineStr">
        <is>
          <t>Yes</t>
        </is>
      </c>
      <c r="B44" t="inlineStr">
        <is>
          <t>mine named in title; plant/siding named in title</t>
        </is>
      </c>
      <c r="C44" t="inlineStr">
        <is>
          <t>Ambikapur / Surguja</t>
        </is>
      </c>
      <c r="D44" t="n">
        <v>137</v>
      </c>
      <c r="E44" t="inlineStr">
        <is>
          <t>Ambikapur / Surguja</t>
        </is>
      </c>
      <c r="F44" t="n">
        <v>137</v>
      </c>
      <c r="G44" t="n">
        <v>137</v>
      </c>
      <c r="H44" t="inlineStr">
        <is>
          <t>16845426</t>
        </is>
      </c>
      <c r="I44" t="inlineStr">
        <is>
          <t>GEM/2026/B/7213819</t>
        </is>
      </c>
      <c r="J44" t="inlineStr">
        <is>
          <t>proposal for hiring of pay loader and tippers for loading and transportation of 56000 te of coal from amera ocp to bishrampur wharf wall siding for 60 days at 934 te per day</t>
        </is>
      </c>
      <c r="K44" t="inlineStr">
        <is>
          <t>Coal transport (RCR / siding)</t>
        </is>
      </c>
      <c r="L44" t="inlineStr">
        <is>
          <t>South Eastern Coalfields Limited</t>
        </is>
      </c>
      <c r="M44" t="inlineStr">
        <is>
          <t>Chhattisgarh</t>
        </is>
      </c>
      <c r="N44" t="inlineStr">
        <is>
          <t>Surguja</t>
        </is>
      </c>
      <c r="O44" s="5" t="n">
        <v>46078</v>
      </c>
      <c r="P44" t="inlineStr">
        <is>
          <t>AOC</t>
        </is>
      </c>
      <c r="Q44" t="inlineStr">
        <is>
          <t>M/S Chandan Kumar Singh</t>
        </is>
      </c>
      <c r="R44" t="inlineStr">
        <is>
          <t>G K Associates, Chandan Kumar Singh</t>
        </is>
      </c>
      <c r="S44" t="inlineStr">
        <is>
          <t>5 named / 5</t>
        </is>
      </c>
      <c r="T44" t="n">
        <v>1.77</v>
      </c>
      <c r="U44" s="6">
        <f>IF(ISNUMBER(G44),MAX(MAX(G44,Settings!$B$13)*Settings!$B$7*Settings!$B$5,IF(ISNUMBER(Settings!$B$12),Settings!$B$12,0))*(1+IF(Settings!$B$11="Y",0,Settings!$B$10/100))+N(Settings!$B$9),"")</f>
        <v/>
      </c>
      <c r="W44" s="6">
        <f>IF(ISNUMBER(V44),IF(V44*Settings!$B$8&gt;1000,"beyond table",IFERROR(LOOKUP(V44*Settings!$B$8,'FOIS 145A'!$A$2:$A$22,'FOIS 145A'!$C$2:$C$22)*(1+IF(Settings!$B$11="Y",0,Settings!$B$10/100)),"")),"")</f>
        <v/>
      </c>
      <c r="X44" s="6">
        <f>IF(AND(ISNUMBER(U44),ISNUMBER(W44)),U44+W44,"")</f>
        <v/>
      </c>
      <c r="Y44">
        <f>Settings!$B$6</f>
        <v/>
      </c>
    </row>
    <row r="45">
      <c r="A45" s="4" t="inlineStr">
        <is>
          <t>Yes</t>
        </is>
      </c>
      <c r="B45" t="inlineStr">
        <is>
          <t>mine named in title</t>
        </is>
      </c>
      <c r="C45" t="inlineStr">
        <is>
          <t>Ambikapur / Surguja</t>
        </is>
      </c>
      <c r="D45" t="n">
        <v>137</v>
      </c>
      <c r="E45" t="inlineStr"/>
      <c r="G45" t="n">
        <v>137</v>
      </c>
      <c r="H45" t="inlineStr">
        <is>
          <t>17262022</t>
        </is>
      </c>
      <c r="I45" t="inlineStr">
        <is>
          <t>GEM/2026/B/7140468</t>
        </is>
      </c>
      <c r="J45" t="inlineStr">
        <is>
          <t>wagon loading, loading and transportation of coal at amgaon ocp bishrampur area for 3650 days</t>
        </is>
      </c>
      <c r="K45" t="inlineStr">
        <is>
          <t>Coal transport (RCR / siding)</t>
        </is>
      </c>
      <c r="L45" t="inlineStr">
        <is>
          <t>South Eastern Coalfields Limited</t>
        </is>
      </c>
      <c r="M45" t="inlineStr">
        <is>
          <t>Chhattisgarh</t>
        </is>
      </c>
      <c r="N45" t="inlineStr">
        <is>
          <t>Surguja</t>
        </is>
      </c>
      <c r="O45" s="5" t="n">
        <v>46069</v>
      </c>
      <c r="P45" t="inlineStr">
        <is>
          <t>AOC</t>
        </is>
      </c>
      <c r="Q45" t="inlineStr">
        <is>
          <t>Surguja Bricks Industries</t>
        </is>
      </c>
      <c r="R45" t="inlineStr"/>
      <c r="S45" t="inlineStr">
        <is>
          <t>5 named / 17</t>
        </is>
      </c>
      <c r="T45" t="n">
        <v>104.53</v>
      </c>
      <c r="U45" s="6">
        <f>IF(ISNUMBER(G45),MAX(MAX(G45,Settings!$B$13)*Settings!$B$7*Settings!$B$5,IF(ISNUMBER(Settings!$B$12),Settings!$B$12,0))*(1+IF(Settings!$B$11="Y",0,Settings!$B$10/100))+N(Settings!$B$9),"")</f>
        <v/>
      </c>
      <c r="W45" s="6">
        <f>IF(ISNUMBER(V45),IF(V45*Settings!$B$8&gt;1000,"beyond table",IFERROR(LOOKUP(V45*Settings!$B$8,'FOIS 145A'!$A$2:$A$22,'FOIS 145A'!$C$2:$C$22)*(1+IF(Settings!$B$11="Y",0,Settings!$B$10/100)),"")),"")</f>
        <v/>
      </c>
      <c r="X45" s="6">
        <f>IF(AND(ISNUMBER(U45),ISNUMBER(W45)),U45+W45,"")</f>
        <v/>
      </c>
      <c r="Y45">
        <f>Settings!$B$6</f>
        <v/>
      </c>
    </row>
    <row r="46">
      <c r="A46" s="4" t="inlineStr">
        <is>
          <t>Yes</t>
        </is>
      </c>
      <c r="B46" t="inlineStr">
        <is>
          <t>mine named in title; plant/siding named in title</t>
        </is>
      </c>
      <c r="C46" t="inlineStr">
        <is>
          <t>Ambikapur / Surguja</t>
        </is>
      </c>
      <c r="D46" t="n">
        <v>137</v>
      </c>
      <c r="E46" t="inlineStr">
        <is>
          <t>Ambikapur / Surguja</t>
        </is>
      </c>
      <c r="F46" t="n">
        <v>137</v>
      </c>
      <c r="G46" t="n">
        <v>137</v>
      </c>
      <c r="H46" t="inlineStr">
        <is>
          <t>17281416</t>
        </is>
      </c>
      <c r="I46" t="inlineStr">
        <is>
          <t>GEM/2026/B/7106097</t>
        </is>
      </c>
      <c r="J46" t="inlineStr">
        <is>
          <t>transportaion of coal from ketki ug mine to mahan 2 and jainagar siding for period of 270 and 4648 days respectively</t>
        </is>
      </c>
      <c r="K46" t="inlineStr">
        <is>
          <t>Coal transport (RCR / siding)</t>
        </is>
      </c>
      <c r="L46" t="inlineStr">
        <is>
          <t>South Eastern Coalfields Limited</t>
        </is>
      </c>
      <c r="M46" t="inlineStr">
        <is>
          <t>Chhattisgarh</t>
        </is>
      </c>
      <c r="N46" t="inlineStr">
        <is>
          <t>Surguja</t>
        </is>
      </c>
      <c r="O46" s="5" t="n">
        <v>46051</v>
      </c>
      <c r="P46" t="inlineStr">
        <is>
          <t>AOC</t>
        </is>
      </c>
      <c r="Q46" t="inlineStr">
        <is>
          <t>Narendra Singh Bindra</t>
        </is>
      </c>
      <c r="R46" t="inlineStr"/>
      <c r="S46" t="inlineStr">
        <is>
          <t>5 named / 12</t>
        </is>
      </c>
      <c r="T46" t="n">
        <v>70.66</v>
      </c>
      <c r="U46" s="6">
        <f>IF(ISNUMBER(G46),MAX(MAX(G46,Settings!$B$13)*Settings!$B$7*Settings!$B$5,IF(ISNUMBER(Settings!$B$12),Settings!$B$12,0))*(1+IF(Settings!$B$11="Y",0,Settings!$B$10/100))+N(Settings!$B$9),"")</f>
        <v/>
      </c>
      <c r="W46" s="6">
        <f>IF(ISNUMBER(V46),IF(V46*Settings!$B$8&gt;1000,"beyond table",IFERROR(LOOKUP(V46*Settings!$B$8,'FOIS 145A'!$A$2:$A$22,'FOIS 145A'!$C$2:$C$22)*(1+IF(Settings!$B$11="Y",0,Settings!$B$10/100)),"")),"")</f>
        <v/>
      </c>
      <c r="X46" s="6">
        <f>IF(AND(ISNUMBER(U46),ISNUMBER(W46)),U46+W46,"")</f>
        <v/>
      </c>
      <c r="Y46">
        <f>Settings!$B$6</f>
        <v/>
      </c>
    </row>
    <row r="47">
      <c r="A47" s="4" t="inlineStr">
        <is>
          <t>Yes</t>
        </is>
      </c>
      <c r="B47" t="inlineStr">
        <is>
          <t>mine named in title</t>
        </is>
      </c>
      <c r="C47" t="inlineStr">
        <is>
          <t>Ambikapur / Surguja</t>
        </is>
      </c>
      <c r="D47" t="n">
        <v>137</v>
      </c>
      <c r="E47" t="inlineStr"/>
      <c r="G47" t="n">
        <v>137</v>
      </c>
      <c r="H47" t="inlineStr">
        <is>
          <t>18266289</t>
        </is>
      </c>
      <c r="I47" t="inlineStr">
        <is>
          <t>GEM/2026/B/7685060</t>
        </is>
      </c>
      <c r="J47" t="inlineStr">
        <is>
          <t>loading and transportation of coal at amera ocp</t>
        </is>
      </c>
      <c r="K47" t="inlineStr">
        <is>
          <t>Coal transport (road)</t>
        </is>
      </c>
      <c r="L47" t="inlineStr">
        <is>
          <t>South Eastern Coalfields Limited</t>
        </is>
      </c>
      <c r="M47" t="inlineStr">
        <is>
          <t>Chhattisgarh</t>
        </is>
      </c>
      <c r="N47" t="inlineStr">
        <is>
          <t>Surguja</t>
        </is>
      </c>
      <c r="O47" s="5" t="n">
        <v>46209</v>
      </c>
      <c r="P47" t="inlineStr">
        <is>
          <t>AOC</t>
        </is>
      </c>
      <c r="Q47" t="inlineStr">
        <is>
          <t>Sri Constructions</t>
        </is>
      </c>
      <c r="R47" t="inlineStr"/>
      <c r="S47" t="inlineStr">
        <is>
          <t>5 named / 21</t>
        </is>
      </c>
      <c r="T47" t="n">
        <v>139.96</v>
      </c>
      <c r="U47" s="6">
        <f>IF(ISNUMBER(G47),MAX(MAX(G47,Settings!$B$13)*Settings!$B$7*Settings!$B$5,IF(ISNUMBER(Settings!$B$12),Settings!$B$12,0))*(1+IF(Settings!$B$11="Y",0,Settings!$B$10/100))+N(Settings!$B$9),"")</f>
        <v/>
      </c>
      <c r="W47" s="6">
        <f>IF(ISNUMBER(V47),IF(V47*Settings!$B$8&gt;1000,"beyond table",IFERROR(LOOKUP(V47*Settings!$B$8,'FOIS 145A'!$A$2:$A$22,'FOIS 145A'!$C$2:$C$22)*(1+IF(Settings!$B$11="Y",0,Settings!$B$10/100)),"")),"")</f>
        <v/>
      </c>
      <c r="X47" s="6">
        <f>IF(AND(ISNUMBER(U47),ISNUMBER(W47)),U47+W47,"")</f>
        <v/>
      </c>
      <c r="Y47">
        <f>Settings!$B$6</f>
        <v/>
      </c>
    </row>
    <row r="48">
      <c r="A48" s="4" t="inlineStr">
        <is>
          <t>Yes</t>
        </is>
      </c>
      <c r="B48" t="inlineStr">
        <is>
          <t>mine = coal company's tender city; siding = same area</t>
        </is>
      </c>
      <c r="C48" t="inlineStr">
        <is>
          <t>Ambikapur / Surguja (tender city)</t>
        </is>
      </c>
      <c r="D48" t="n">
        <v>137</v>
      </c>
      <c r="E48" t="inlineStr">
        <is>
          <t>Ambikapur / Surguja (tender city)</t>
        </is>
      </c>
      <c r="F48" t="n">
        <v>137</v>
      </c>
      <c r="G48" t="n">
        <v>137</v>
      </c>
      <c r="H48" t="inlineStr">
        <is>
          <t>17829018</t>
        </is>
      </c>
      <c r="I48" t="inlineStr">
        <is>
          <t>GEM/2026/B/7685720</t>
        </is>
      </c>
      <c r="J48" t="inlineStr">
        <is>
          <t>handling service, transport service, handling &amp; transport service, hiring of payloader and tippers for loading and transportation of 230000 te of -100mm coal for a period of 120..</t>
        </is>
      </c>
      <c r="K48" t="inlineStr">
        <is>
          <t>Coal transport (road)</t>
        </is>
      </c>
      <c r="L48" t="inlineStr">
        <is>
          <t>South Eastern Coalfields Limited</t>
        </is>
      </c>
      <c r="M48" t="inlineStr">
        <is>
          <t>Chhattisgarh</t>
        </is>
      </c>
      <c r="N48" t="inlineStr">
        <is>
          <t>Surguja</t>
        </is>
      </c>
      <c r="O48" s="5" t="n">
        <v>46209</v>
      </c>
      <c r="P48" t="inlineStr">
        <is>
          <t>AOC</t>
        </is>
      </c>
      <c r="Q48" t="inlineStr">
        <is>
          <t>M/S Chandan Kumar Singh</t>
        </is>
      </c>
      <c r="R48" t="inlineStr">
        <is>
          <t>Chandan Kumar Singh</t>
        </is>
      </c>
      <c r="S48" t="inlineStr">
        <is>
          <t>5 named / 6</t>
        </is>
      </c>
      <c r="T48" t="n">
        <v>7.39</v>
      </c>
      <c r="U48" s="6">
        <f>IF(ISNUMBER(G48),MAX(MAX(G48,Settings!$B$13)*Settings!$B$7*Settings!$B$5,IF(ISNUMBER(Settings!$B$12),Settings!$B$12,0))*(1+IF(Settings!$B$11="Y",0,Settings!$B$10/100))+N(Settings!$B$9),"")</f>
        <v/>
      </c>
      <c r="W48" s="6">
        <f>IF(ISNUMBER(V48),IF(V48*Settings!$B$8&gt;1000,"beyond table",IFERROR(LOOKUP(V48*Settings!$B$8,'FOIS 145A'!$A$2:$A$22,'FOIS 145A'!$C$2:$C$22)*(1+IF(Settings!$B$11="Y",0,Settings!$B$10/100)),"")),"")</f>
        <v/>
      </c>
      <c r="X48" s="6">
        <f>IF(AND(ISNUMBER(U48),ISNUMBER(W48)),U48+W48,"")</f>
        <v/>
      </c>
      <c r="Y48">
        <f>Settings!$B$6</f>
        <v/>
      </c>
    </row>
    <row r="49">
      <c r="A49" s="4" t="inlineStr">
        <is>
          <t>Yes</t>
        </is>
      </c>
      <c r="B49" t="inlineStr">
        <is>
          <t>mine named in title</t>
        </is>
      </c>
      <c r="C49" t="inlineStr">
        <is>
          <t>Ambikapur / Surguja</t>
        </is>
      </c>
      <c r="D49" t="n">
        <v>137</v>
      </c>
      <c r="E49" t="inlineStr"/>
      <c r="G49" t="n">
        <v>137</v>
      </c>
      <c r="H49" t="inlineStr">
        <is>
          <t>16845462</t>
        </is>
      </c>
      <c r="I49" t="inlineStr">
        <is>
          <t>GEM/2026/B/7219625</t>
        </is>
      </c>
      <c r="J49" t="inlineStr">
        <is>
          <t>proposal for hiring of a pay loader for mechanical loading of coal into tippers at coal stock yard amgaon ocp for 85000 te less than 100 mm and b transportation of coal ..</t>
        </is>
      </c>
      <c r="K49" t="inlineStr">
        <is>
          <t>Coal transport (road)</t>
        </is>
      </c>
      <c r="L49" t="inlineStr">
        <is>
          <t>South Eastern Coalfields Limited</t>
        </is>
      </c>
      <c r="M49" t="inlineStr">
        <is>
          <t>Chhattisgarh</t>
        </is>
      </c>
      <c r="N49" t="inlineStr">
        <is>
          <t>Surguja</t>
        </is>
      </c>
      <c r="O49" s="5" t="n">
        <v>46079</v>
      </c>
      <c r="P49" t="inlineStr">
        <is>
          <t>AOC</t>
        </is>
      </c>
      <c r="Q49" t="inlineStr">
        <is>
          <t>Om Logistics</t>
        </is>
      </c>
      <c r="R49" t="inlineStr">
        <is>
          <t>Chandan Kumar Singh</t>
        </is>
      </c>
      <c r="S49" t="inlineStr">
        <is>
          <t>5 named / 5</t>
        </is>
      </c>
      <c r="T49" t="n">
        <v>1.41</v>
      </c>
      <c r="U49" s="6">
        <f>IF(ISNUMBER(G49),MAX(MAX(G49,Settings!$B$13)*Settings!$B$7*Settings!$B$5,IF(ISNUMBER(Settings!$B$12),Settings!$B$12,0))*(1+IF(Settings!$B$11="Y",0,Settings!$B$10/100))+N(Settings!$B$9),"")</f>
        <v/>
      </c>
      <c r="W49" s="6">
        <f>IF(ISNUMBER(V49),IF(V49*Settings!$B$8&gt;1000,"beyond table",IFERROR(LOOKUP(V49*Settings!$B$8,'FOIS 145A'!$A$2:$A$22,'FOIS 145A'!$C$2:$C$22)*(1+IF(Settings!$B$11="Y",0,Settings!$B$10/100)),"")),"")</f>
        <v/>
      </c>
      <c r="X49" s="6">
        <f>IF(AND(ISNUMBER(U49),ISNUMBER(W49)),U49+W49,"")</f>
        <v/>
      </c>
      <c r="Y49">
        <f>Settings!$B$6</f>
        <v/>
      </c>
    </row>
    <row r="50">
      <c r="A50" s="4" t="inlineStr">
        <is>
          <t>Yes</t>
        </is>
      </c>
      <c r="B50" t="inlineStr">
        <is>
          <t>mine named in title; plant/siding named in title</t>
        </is>
      </c>
      <c r="C50" t="inlineStr">
        <is>
          <t>Ambikapur / Surguja</t>
        </is>
      </c>
      <c r="D50" t="n">
        <v>137</v>
      </c>
      <c r="E50" t="inlineStr">
        <is>
          <t>Ambikapur / Surguja</t>
        </is>
      </c>
      <c r="F50" t="n">
        <v>137</v>
      </c>
      <c r="G50" t="n">
        <v>137</v>
      </c>
      <c r="H50" t="inlineStr">
        <is>
          <t>15478921</t>
        </is>
      </c>
      <c r="I50" t="inlineStr">
        <is>
          <t>GEM/2025/B/6719300</t>
        </is>
      </c>
      <c r="J50" t="inlineStr">
        <is>
          <t>transportation of 63000 te and 340 te of g7 grade coal from ketki ug mine stock yard to bhatgaon area destinations through hired tippers via weighbridges within 41 to 43 km lead</t>
        </is>
      </c>
      <c r="K50" t="inlineStr">
        <is>
          <t>Coal transport (road)</t>
        </is>
      </c>
      <c r="L50" t="inlineStr">
        <is>
          <t>South Eastern Coalfields Limited</t>
        </is>
      </c>
      <c r="M50" t="inlineStr">
        <is>
          <t>Chhattisgarh</t>
        </is>
      </c>
      <c r="N50" t="inlineStr">
        <is>
          <t>Surguja</t>
        </is>
      </c>
      <c r="O50" s="5" t="n">
        <v>45939</v>
      </c>
      <c r="P50" t="inlineStr">
        <is>
          <t>AOC</t>
        </is>
      </c>
      <c r="Q50" t="inlineStr">
        <is>
          <t>Narendra Singh Bindra</t>
        </is>
      </c>
      <c r="R50" t="inlineStr">
        <is>
          <t>G K Associates, Chandan Kumar Singh</t>
        </is>
      </c>
      <c r="S50" t="inlineStr">
        <is>
          <t>5 named / 7</t>
        </is>
      </c>
      <c r="T50" t="n">
        <v>1.35</v>
      </c>
      <c r="U50" s="6">
        <f>IF(ISNUMBER(G50),MAX(MAX(G50,Settings!$B$13)*Settings!$B$7*Settings!$B$5,IF(ISNUMBER(Settings!$B$12),Settings!$B$12,0))*(1+IF(Settings!$B$11="Y",0,Settings!$B$10/100))+N(Settings!$B$9),"")</f>
        <v/>
      </c>
      <c r="W50" s="6">
        <f>IF(ISNUMBER(V50),IF(V50*Settings!$B$8&gt;1000,"beyond table",IFERROR(LOOKUP(V50*Settings!$B$8,'FOIS 145A'!$A$2:$A$22,'FOIS 145A'!$C$2:$C$22)*(1+IF(Settings!$B$11="Y",0,Settings!$B$10/100)),"")),"")</f>
        <v/>
      </c>
      <c r="X50" s="6">
        <f>IF(AND(ISNUMBER(U50),ISNUMBER(W50)),U50+W50,"")</f>
        <v/>
      </c>
      <c r="Y50">
        <f>Settings!$B$6</f>
        <v/>
      </c>
    </row>
    <row r="51">
      <c r="A51" s="4" t="inlineStr">
        <is>
          <t>Yes</t>
        </is>
      </c>
      <c r="B51" t="inlineStr">
        <is>
          <t>plant/siding named in title</t>
        </is>
      </c>
      <c r="C51" t="inlineStr"/>
      <c r="E51" t="inlineStr">
        <is>
          <t>Ambikapur / Surguja</t>
        </is>
      </c>
      <c r="F51" t="n">
        <v>137</v>
      </c>
      <c r="G51" t="n">
        <v>137</v>
      </c>
      <c r="H51" t="inlineStr">
        <is>
          <t>14267063</t>
        </is>
      </c>
      <c r="I51" t="inlineStr">
        <is>
          <t>2025_BHEL_49216_1</t>
        </is>
      </c>
      <c r="J51" t="inlineStr">
        <is>
          <t>point to point transport contract for transportation of coal bunker items assembly from bhel hpvp to mahan singrauli</t>
        </is>
      </c>
      <c r="K51" t="inlineStr">
        <is>
          <t>Coal transport (road)</t>
        </is>
      </c>
      <c r="L51" t="inlineStr">
        <is>
          <t>Bharat Heavy Electricals Limited</t>
        </is>
      </c>
      <c r="M51" t="inlineStr">
        <is>
          <t>Madhya Pradesh</t>
        </is>
      </c>
      <c r="N51" t="inlineStr">
        <is>
          <t>Singrauli</t>
        </is>
      </c>
      <c r="O51" s="5" t="n">
        <v>45819</v>
      </c>
      <c r="P51" t="inlineStr">
        <is>
          <t>Technical</t>
        </is>
      </c>
      <c r="Q51" t="inlineStr">
        <is>
          <t>-</t>
        </is>
      </c>
      <c r="R51" t="inlineStr"/>
      <c r="S51" t="inlineStr">
        <is>
          <t>5 named / 7</t>
        </is>
      </c>
      <c r="U51" s="6">
        <f>IF(ISNUMBER(G51),MAX(MAX(G51,Settings!$B$13)*Settings!$B$7*Settings!$B$5,IF(ISNUMBER(Settings!$B$12),Settings!$B$12,0))*(1+IF(Settings!$B$11="Y",0,Settings!$B$10/100))+N(Settings!$B$9),"")</f>
        <v/>
      </c>
      <c r="W51" s="6">
        <f>IF(ISNUMBER(V51),IF(V51*Settings!$B$8&gt;1000,"beyond table",IFERROR(LOOKUP(V51*Settings!$B$8,'FOIS 145A'!$A$2:$A$22,'FOIS 145A'!$C$2:$C$22)*(1+IF(Settings!$B$11="Y",0,Settings!$B$10/100)),"")),"")</f>
        <v/>
      </c>
      <c r="X51" s="6">
        <f>IF(AND(ISNUMBER(U51),ISNUMBER(W51)),U51+W51,"")</f>
        <v/>
      </c>
      <c r="Y51">
        <f>Settings!$B$6</f>
        <v/>
      </c>
    </row>
    <row r="52">
      <c r="A52" s="4" t="inlineStr">
        <is>
          <t>Yes</t>
        </is>
      </c>
      <c r="B52" t="inlineStr">
        <is>
          <t>mine = coal company's tender city; siding = same area</t>
        </is>
      </c>
      <c r="C52" t="inlineStr">
        <is>
          <t>Ambikapur / Surguja (tender city)</t>
        </is>
      </c>
      <c r="D52" t="n">
        <v>137</v>
      </c>
      <c r="E52" t="inlineStr">
        <is>
          <t>Ambikapur / Surguja (tender city)</t>
        </is>
      </c>
      <c r="F52" t="n">
        <v>137</v>
      </c>
      <c r="G52" t="n">
        <v>137</v>
      </c>
      <c r="H52" t="inlineStr">
        <is>
          <t>16716663</t>
        </is>
      </c>
      <c r="I52" t="inlineStr">
        <is>
          <t>GEM/2026/B/7201133</t>
        </is>
      </c>
      <c r="J52" t="inlineStr">
        <is>
          <t>proposal for hiring of pay loader with weight sensor for mechanical transfer of 2000000 te coal into railway wagons at bishrampur wharf wall siding including allied loading acti..</t>
        </is>
      </c>
      <c r="K52" t="inlineStr">
        <is>
          <t>Loading / handling / crushing</t>
        </is>
      </c>
      <c r="L52" t="inlineStr">
        <is>
          <t>South Eastern Coalfields Limited</t>
        </is>
      </c>
      <c r="M52" t="inlineStr">
        <is>
          <t>Chhattisgarh</t>
        </is>
      </c>
      <c r="N52" t="inlineStr">
        <is>
          <t>Surguja</t>
        </is>
      </c>
      <c r="O52" s="5" t="n">
        <v>46076</v>
      </c>
      <c r="P52" t="inlineStr">
        <is>
          <t>AOC</t>
        </is>
      </c>
      <c r="Q52" t="inlineStr">
        <is>
          <t>Orbit Carriers Private Limited</t>
        </is>
      </c>
      <c r="R52" t="inlineStr">
        <is>
          <t>Chandan Kumar Singh</t>
        </is>
      </c>
      <c r="S52" t="inlineStr">
        <is>
          <t>4 named / 4</t>
        </is>
      </c>
      <c r="T52" t="n">
        <v>1.79</v>
      </c>
      <c r="U52" s="6">
        <f>IF(ISNUMBER(G52),MAX(MAX(G52,Settings!$B$13)*Settings!$B$7*Settings!$B$5,IF(ISNUMBER(Settings!$B$12),Settings!$B$12,0))*(1+IF(Settings!$B$11="Y",0,Settings!$B$10/100))+N(Settings!$B$9),"")</f>
        <v/>
      </c>
      <c r="W52" s="6">
        <f>IF(ISNUMBER(V52),IF(V52*Settings!$B$8&gt;1000,"beyond table",IFERROR(LOOKUP(V52*Settings!$B$8,'FOIS 145A'!$A$2:$A$22,'FOIS 145A'!$C$2:$C$22)*(1+IF(Settings!$B$11="Y",0,Settings!$B$10/100)),"")),"")</f>
        <v/>
      </c>
      <c r="X52" s="6">
        <f>IF(AND(ISNUMBER(U52),ISNUMBER(W52)),U52+W52,"")</f>
        <v/>
      </c>
      <c r="Y52">
        <f>Settings!$B$6</f>
        <v/>
      </c>
    </row>
    <row r="53">
      <c r="A53" s="4" t="inlineStr">
        <is>
          <t>Yes</t>
        </is>
      </c>
      <c r="B53" t="inlineStr">
        <is>
          <t>mine named in title</t>
        </is>
      </c>
      <c r="C53" t="inlineStr">
        <is>
          <t>Ambikapur / Surguja</t>
        </is>
      </c>
      <c r="D53" t="n">
        <v>137</v>
      </c>
      <c r="E53" t="inlineStr"/>
      <c r="G53" t="n">
        <v>137</v>
      </c>
      <c r="H53" t="inlineStr">
        <is>
          <t>17681972</t>
        </is>
      </c>
      <c r="I53" t="inlineStr">
        <is>
          <t>GEM/2026/B/7325071</t>
        </is>
      </c>
      <c r="J53" t="inlineStr">
        <is>
          <t>hiring of hemms for loading and transportaion of coal at gayatri ug mine of bishrampur area secl for 2190 days</t>
        </is>
      </c>
      <c r="K53" t="inlineStr">
        <is>
          <t>Mining services (OB / extraction)</t>
        </is>
      </c>
      <c r="L53" t="inlineStr">
        <is>
          <t>South Eastern Coalfields Limited</t>
        </is>
      </c>
      <c r="M53" t="inlineStr">
        <is>
          <t>Chhattisgarh</t>
        </is>
      </c>
      <c r="N53" t="inlineStr">
        <is>
          <t>Surguja</t>
        </is>
      </c>
      <c r="O53" s="5" t="n">
        <v>46104</v>
      </c>
      <c r="P53" t="inlineStr">
        <is>
          <t>AOC</t>
        </is>
      </c>
      <c r="Q53" t="inlineStr">
        <is>
          <t>M/S Chandan Kumar Singh</t>
        </is>
      </c>
      <c r="R53" t="inlineStr"/>
      <c r="S53" t="inlineStr">
        <is>
          <t>5 named / 18</t>
        </is>
      </c>
      <c r="T53" t="n">
        <v>50.29</v>
      </c>
      <c r="U53" s="6">
        <f>IF(ISNUMBER(G53),MAX(MAX(G53,Settings!$B$13)*Settings!$B$7*Settings!$B$5,IF(ISNUMBER(Settings!$B$12),Settings!$B$12,0))*(1+IF(Settings!$B$11="Y",0,Settings!$B$10/100))+N(Settings!$B$9),"")</f>
        <v/>
      </c>
      <c r="W53" s="6">
        <f>IF(ISNUMBER(V53),IF(V53*Settings!$B$8&gt;1000,"beyond table",IFERROR(LOOKUP(V53*Settings!$B$8,'FOIS 145A'!$A$2:$A$22,'FOIS 145A'!$C$2:$C$22)*(1+IF(Settings!$B$11="Y",0,Settings!$B$10/100)),"")),"")</f>
        <v/>
      </c>
      <c r="X53" s="6">
        <f>IF(AND(ISNUMBER(U53),ISNUMBER(W53)),U53+W53,"")</f>
        <v/>
      </c>
      <c r="Y53">
        <f>Settings!$B$6</f>
        <v/>
      </c>
    </row>
    <row r="54">
      <c r="A54" s="4" t="inlineStr">
        <is>
          <t>Yes</t>
        </is>
      </c>
      <c r="B54" t="inlineStr">
        <is>
          <t>mine named in title</t>
        </is>
      </c>
      <c r="C54" t="inlineStr">
        <is>
          <t>Ambikapur / Surguja</t>
        </is>
      </c>
      <c r="D54" t="n">
        <v>137</v>
      </c>
      <c r="E54" t="inlineStr"/>
      <c r="G54" t="n">
        <v>137</v>
      </c>
      <c r="H54" t="inlineStr">
        <is>
          <t>15763453</t>
        </is>
      </c>
      <c r="I54" t="inlineStr">
        <is>
          <t>GEM/2025/B/6862935</t>
        </is>
      </c>
      <c r="J54" t="inlineStr">
        <is>
          <t>hiring of crawler mounted drill machine 159 mm dia with wet drilling for 5763 m coal holes at forest patch for 30 days at amgaon ocp secl bishrampur area</t>
        </is>
      </c>
      <c r="K54" t="inlineStr">
        <is>
          <t>Other</t>
        </is>
      </c>
      <c r="L54" t="inlineStr">
        <is>
          <t>South Eastern Coalfields Limited</t>
        </is>
      </c>
      <c r="M54" t="inlineStr">
        <is>
          <t>Chhattisgarh</t>
        </is>
      </c>
      <c r="N54" t="inlineStr">
        <is>
          <t>Surguja</t>
        </is>
      </c>
      <c r="O54" s="5" t="n">
        <v>45983</v>
      </c>
      <c r="P54" t="inlineStr">
        <is>
          <t>AOC</t>
        </is>
      </c>
      <c r="Q54" t="inlineStr">
        <is>
          <t>G K Associates</t>
        </is>
      </c>
      <c r="R54" t="inlineStr">
        <is>
          <t>G K Associates</t>
        </is>
      </c>
      <c r="S54" t="inlineStr">
        <is>
          <t>1 named / 1</t>
        </is>
      </c>
      <c r="T54" t="n">
        <v>0.1</v>
      </c>
      <c r="U54" s="6">
        <f>IF(ISNUMBER(G54),MAX(MAX(G54,Settings!$B$13)*Settings!$B$7*Settings!$B$5,IF(ISNUMBER(Settings!$B$12),Settings!$B$12,0))*(1+IF(Settings!$B$11="Y",0,Settings!$B$10/100))+N(Settings!$B$9),"")</f>
        <v/>
      </c>
      <c r="W54" s="6">
        <f>IF(ISNUMBER(V54),IF(V54*Settings!$B$8&gt;1000,"beyond table",IFERROR(LOOKUP(V54*Settings!$B$8,'FOIS 145A'!$A$2:$A$22,'FOIS 145A'!$C$2:$C$22)*(1+IF(Settings!$B$11="Y",0,Settings!$B$10/100)),"")),"")</f>
        <v/>
      </c>
      <c r="X54" s="6">
        <f>IF(AND(ISNUMBER(U54),ISNUMBER(W54)),U54+W54,"")</f>
        <v/>
      </c>
      <c r="Y54">
        <f>Settings!$B$6</f>
        <v/>
      </c>
    </row>
    <row r="55">
      <c r="A55" s="4" t="inlineStr">
        <is>
          <t>Yes</t>
        </is>
      </c>
      <c r="B55" t="inlineStr">
        <is>
          <t>plant/siding named in title; mine = coal company's tender city</t>
        </is>
      </c>
      <c r="C55" t="inlineStr">
        <is>
          <t>Ambikapur / Surguja (tender city)</t>
        </is>
      </c>
      <c r="D55" t="n">
        <v>137</v>
      </c>
      <c r="E55" t="inlineStr">
        <is>
          <t>Ambikapur / Surguja</t>
        </is>
      </c>
      <c r="F55" t="n">
        <v>137</v>
      </c>
      <c r="G55" t="n">
        <v>137</v>
      </c>
      <c r="H55" t="inlineStr">
        <is>
          <t>15692582</t>
        </is>
      </c>
      <c r="I55" t="inlineStr">
        <is>
          <t>GEM/2025/B/6674746</t>
        </is>
      </c>
      <c r="J55" t="inlineStr">
        <is>
          <t>hiring of pay loder incorporated with weight sensors for mechanical transfer of size 100 mm coal to railway wagons for a quantity of 5891332 te for 1095 days at mahan ii wharf..</t>
        </is>
      </c>
      <c r="K55" t="inlineStr">
        <is>
          <t>Other</t>
        </is>
      </c>
      <c r="L55" t="inlineStr">
        <is>
          <t>South Eastern Coalfields Limited</t>
        </is>
      </c>
      <c r="M55" t="inlineStr">
        <is>
          <t>Chhattisgarh</t>
        </is>
      </c>
      <c r="N55" t="inlineStr">
        <is>
          <t>Surguja</t>
        </is>
      </c>
      <c r="O55" s="5" t="n">
        <v>45929</v>
      </c>
      <c r="P55" t="inlineStr">
        <is>
          <t>AOC</t>
        </is>
      </c>
      <c r="Q55" t="inlineStr">
        <is>
          <t>Surguja Bricks Industries</t>
        </is>
      </c>
      <c r="R55" t="inlineStr">
        <is>
          <t>G K Associates, Chandan Kumar Singh</t>
        </is>
      </c>
      <c r="S55" t="inlineStr">
        <is>
          <t>5 named / 9</t>
        </is>
      </c>
      <c r="T55" t="n">
        <v>5.18</v>
      </c>
      <c r="U55" s="6">
        <f>IF(ISNUMBER(G55),MAX(MAX(G55,Settings!$B$13)*Settings!$B$7*Settings!$B$5,IF(ISNUMBER(Settings!$B$12),Settings!$B$12,0))*(1+IF(Settings!$B$11="Y",0,Settings!$B$10/100))+N(Settings!$B$9),"")</f>
        <v/>
      </c>
      <c r="W55" s="6">
        <f>IF(ISNUMBER(V55),IF(V55*Settings!$B$8&gt;1000,"beyond table",IFERROR(LOOKUP(V55*Settings!$B$8,'FOIS 145A'!$A$2:$A$22,'FOIS 145A'!$C$2:$C$22)*(1+IF(Settings!$B$11="Y",0,Settings!$B$10/100)),"")),"")</f>
        <v/>
      </c>
      <c r="X55" s="6">
        <f>IF(AND(ISNUMBER(U55),ISNUMBER(W55)),U55+W55,"")</f>
        <v/>
      </c>
      <c r="Y55">
        <f>Settings!$B$6</f>
        <v/>
      </c>
    </row>
    <row r="56">
      <c r="A56" s="7" t="inlineStr">
        <is>
          <t>Borderline</t>
        </is>
      </c>
      <c r="B56" t="inlineStr">
        <is>
          <t>plant = tender city</t>
        </is>
      </c>
      <c r="C56" t="inlineStr"/>
      <c r="E56" t="inlineStr">
        <is>
          <t>Rourkela (tender city)</t>
        </is>
      </c>
      <c r="F56" t="n">
        <v>156</v>
      </c>
      <c r="G56" t="n">
        <v>156</v>
      </c>
      <c r="H56" t="inlineStr">
        <is>
          <t>18282487</t>
        </is>
      </c>
      <c r="I56" t="inlineStr">
        <is>
          <t>GEM/2026/B/7469992</t>
        </is>
      </c>
      <c r="J56" t="inlineStr">
        <is>
          <t>lifting of of coal from mcl mines (kuldabelpaharlajkuralakhanpursamaleswerigarjanbaha l) to any railway sidinggoods shed private siding ( ser,secr,east coast railways) under rcr mode &amp; supervison of c</t>
        </is>
      </c>
      <c r="K56" t="inlineStr">
        <is>
          <t>Coal transport (RCR / siding)</t>
        </is>
      </c>
      <c r="L56" t="inlineStr">
        <is>
          <t>Ntpc-Sail Power Company Private Limited</t>
        </is>
      </c>
      <c r="M56" t="inlineStr">
        <is>
          <t>Orissa</t>
        </is>
      </c>
      <c r="N56" t="inlineStr">
        <is>
          <t>Rourkela</t>
        </is>
      </c>
      <c r="O56" s="5" t="n">
        <v>46206</v>
      </c>
      <c r="P56" t="inlineStr">
        <is>
          <t>Financial</t>
        </is>
      </c>
      <c r="Q56" t="inlineStr">
        <is>
          <t>-</t>
        </is>
      </c>
      <c r="R56" t="inlineStr">
        <is>
          <t>Anoop Road Carriers, Bharat Road Carrier</t>
        </is>
      </c>
      <c r="S56" t="inlineStr">
        <is>
          <t>5 named / 12</t>
        </is>
      </c>
      <c r="U56" s="6">
        <f>IF(ISNUMBER(G56),MAX(MAX(G56,Settings!$B$13)*Settings!$B$7*Settings!$B$5,IF(ISNUMBER(Settings!$B$12),Settings!$B$12,0))*(1+IF(Settings!$B$11="Y",0,Settings!$B$10/100))+N(Settings!$B$9),"")</f>
        <v/>
      </c>
      <c r="W56" s="6">
        <f>IF(ISNUMBER(V56),IF(V56*Settings!$B$8&gt;1000,"beyond table",IFERROR(LOOKUP(V56*Settings!$B$8,'FOIS 145A'!$A$2:$A$22,'FOIS 145A'!$C$2:$C$22)*(1+IF(Settings!$B$11="Y",0,Settings!$B$10/100)),"")),"")</f>
        <v/>
      </c>
      <c r="X56" s="6">
        <f>IF(AND(ISNUMBER(U56),ISNUMBER(W56)),U56+W56,"")</f>
        <v/>
      </c>
      <c r="Y56">
        <f>Settings!$B$6</f>
        <v/>
      </c>
    </row>
    <row r="57">
      <c r="A57" s="7" t="inlineStr">
        <is>
          <t>Borderline</t>
        </is>
      </c>
      <c r="B57" t="inlineStr">
        <is>
          <t>plant/siding named in title</t>
        </is>
      </c>
      <c r="C57" t="inlineStr"/>
      <c r="E57" t="inlineStr">
        <is>
          <t>Rourkela</t>
        </is>
      </c>
      <c r="F57" t="n">
        <v>156</v>
      </c>
      <c r="G57" t="n">
        <v>156</v>
      </c>
      <c r="H57" t="inlineStr">
        <is>
          <t>16080231</t>
        </is>
      </c>
      <c r="I57" t="inlineStr">
        <is>
          <t>GEM/2025/B/7016181</t>
        </is>
      </c>
      <c r="J57" t="inlineStr">
        <is>
          <t>short term one time coal shifting from dsp beds to nspcl coal yard,pp-ii and pp-iii</t>
        </is>
      </c>
      <c r="K57" t="inlineStr">
        <is>
          <t>Loading / handling / crushing</t>
        </is>
      </c>
      <c r="L57" t="inlineStr">
        <is>
          <t>Ntpc-Sail Power Company Private Limited</t>
        </is>
      </c>
      <c r="M57" t="inlineStr">
        <is>
          <t>West Bengal</t>
        </is>
      </c>
      <c r="N57" t="inlineStr">
        <is>
          <t>Durgapur</t>
        </is>
      </c>
      <c r="O57" s="5" t="n">
        <v>46020</v>
      </c>
      <c r="P57" t="inlineStr">
        <is>
          <t>Financial</t>
        </is>
      </c>
      <c r="Q57" t="inlineStr">
        <is>
          <t>-</t>
        </is>
      </c>
      <c r="R57" t="inlineStr">
        <is>
          <t>United Coal Carriers</t>
        </is>
      </c>
      <c r="S57" t="inlineStr">
        <is>
          <t>5 named / 6</t>
        </is>
      </c>
      <c r="U57" s="6">
        <f>IF(ISNUMBER(G57),MAX(MAX(G57,Settings!$B$13)*Settings!$B$7*Settings!$B$5,IF(ISNUMBER(Settings!$B$12),Settings!$B$12,0))*(1+IF(Settings!$B$11="Y",0,Settings!$B$10/100))+N(Settings!$B$9),"")</f>
        <v/>
      </c>
      <c r="W57" s="6">
        <f>IF(ISNUMBER(V57),IF(V57*Settings!$B$8&gt;1000,"beyond table",IFERROR(LOOKUP(V57*Settings!$B$8,'FOIS 145A'!$A$2:$A$22,'FOIS 145A'!$C$2:$C$22)*(1+IF(Settings!$B$11="Y",0,Settings!$B$10/100)),"")),"")</f>
        <v/>
      </c>
      <c r="X57" s="6">
        <f>IF(AND(ISNUMBER(U57),ISNUMBER(W57)),U57+W57,"")</f>
        <v/>
      </c>
      <c r="Y57">
        <f>Settings!$B$6</f>
        <v/>
      </c>
    </row>
    <row r="58">
      <c r="A58" s="7" t="inlineStr">
        <is>
          <t>Borderline</t>
        </is>
      </c>
      <c r="B58" t="inlineStr">
        <is>
          <t>plant/siding named in title</t>
        </is>
      </c>
      <c r="C58" t="inlineStr"/>
      <c r="E58" t="inlineStr">
        <is>
          <t>Rourkela</t>
        </is>
      </c>
      <c r="F58" t="n">
        <v>156</v>
      </c>
      <c r="G58" t="n">
        <v>156</v>
      </c>
      <c r="H58" t="inlineStr">
        <is>
          <t>13548763</t>
        </is>
      </c>
      <c r="I58" t="inlineStr">
        <is>
          <t>GEM/2025/B/6130476</t>
        </is>
      </c>
      <c r="J58" t="inlineStr">
        <is>
          <t>coal shifting from dsp beds to nspcl coal yard of chp pp-ii and iii(ssc/2</t>
        </is>
      </c>
      <c r="K58" t="inlineStr">
        <is>
          <t>Loading / handling / crushing</t>
        </is>
      </c>
      <c r="L58" t="inlineStr">
        <is>
          <t>Ntpc-Sail Power Company Private Limited</t>
        </is>
      </c>
      <c r="M58" t="inlineStr">
        <is>
          <t>West Bengal</t>
        </is>
      </c>
      <c r="N58" t="inlineStr">
        <is>
          <t>Durgapur</t>
        </is>
      </c>
      <c r="O58" s="5" t="n">
        <v>45792</v>
      </c>
      <c r="P58" t="inlineStr">
        <is>
          <t>AOC</t>
        </is>
      </c>
      <c r="Q58" t="inlineStr">
        <is>
          <t>Phoenix Solutions</t>
        </is>
      </c>
      <c r="R58" t="inlineStr">
        <is>
          <t>Nkas Services</t>
        </is>
      </c>
      <c r="S58" t="inlineStr">
        <is>
          <t>5 named / 5</t>
        </is>
      </c>
      <c r="T58" t="n">
        <v>1.63</v>
      </c>
      <c r="U58" s="6">
        <f>IF(ISNUMBER(G58),MAX(MAX(G58,Settings!$B$13)*Settings!$B$7*Settings!$B$5,IF(ISNUMBER(Settings!$B$12),Settings!$B$12,0))*(1+IF(Settings!$B$11="Y",0,Settings!$B$10/100))+N(Settings!$B$9),"")</f>
        <v/>
      </c>
      <c r="W58" s="6">
        <f>IF(ISNUMBER(V58),IF(V58*Settings!$B$8&gt;1000,"beyond table",IFERROR(LOOKUP(V58*Settings!$B$8,'FOIS 145A'!$A$2:$A$22,'FOIS 145A'!$C$2:$C$22)*(1+IF(Settings!$B$11="Y",0,Settings!$B$10/100)),"")),"")</f>
        <v/>
      </c>
      <c r="X58" s="6">
        <f>IF(AND(ISNUMBER(U58),ISNUMBER(W58)),U58+W58,"")</f>
        <v/>
      </c>
      <c r="Y58">
        <f>Settings!$B$6</f>
        <v/>
      </c>
    </row>
    <row r="59">
      <c r="A59" s="7" t="inlineStr">
        <is>
          <t>Borderline</t>
        </is>
      </c>
      <c r="B59" t="inlineStr">
        <is>
          <t>plant/siding named in title</t>
        </is>
      </c>
      <c r="C59" t="inlineStr"/>
      <c r="E59" t="inlineStr">
        <is>
          <t>Rourkela</t>
        </is>
      </c>
      <c r="F59" t="n">
        <v>156</v>
      </c>
      <c r="G59" t="n">
        <v>156</v>
      </c>
      <c r="H59" t="inlineStr">
        <is>
          <t>12298393</t>
        </is>
      </c>
      <c r="I59" t="inlineStr">
        <is>
          <t>GEM/2024/B/5717697</t>
        </is>
      </c>
      <c r="J59" t="inlineStr">
        <is>
          <t>coal shifting from dsp beds to nspcl coal yard of chp ppii and iii for 3</t>
        </is>
      </c>
      <c r="K59" t="inlineStr">
        <is>
          <t>Loading / handling / crushing</t>
        </is>
      </c>
      <c r="L59" t="inlineStr">
        <is>
          <t>Ntpc-Sail Power Company Private Limited</t>
        </is>
      </c>
      <c r="M59" t="inlineStr">
        <is>
          <t>West Bengal</t>
        </is>
      </c>
      <c r="N59" t="inlineStr">
        <is>
          <t>Durgapur</t>
        </is>
      </c>
      <c r="O59" s="5" t="n">
        <v>45658</v>
      </c>
      <c r="P59" t="inlineStr">
        <is>
          <t>AOC</t>
        </is>
      </c>
      <c r="Q59" t="inlineStr">
        <is>
          <t>M/S United Coal Carriers</t>
        </is>
      </c>
      <c r="R59" t="inlineStr">
        <is>
          <t>United Coal Carriers</t>
        </is>
      </c>
      <c r="S59" t="inlineStr">
        <is>
          <t>4 named / 4</t>
        </is>
      </c>
      <c r="T59" t="n">
        <v>0.85</v>
      </c>
      <c r="U59" s="6">
        <f>IF(ISNUMBER(G59),MAX(MAX(G59,Settings!$B$13)*Settings!$B$7*Settings!$B$5,IF(ISNUMBER(Settings!$B$12),Settings!$B$12,0))*(1+IF(Settings!$B$11="Y",0,Settings!$B$10/100))+N(Settings!$B$9),"")</f>
        <v/>
      </c>
      <c r="W59" s="6">
        <f>IF(ISNUMBER(V59),IF(V59*Settings!$B$8&gt;1000,"beyond table",IFERROR(LOOKUP(V59*Settings!$B$8,'FOIS 145A'!$A$2:$A$22,'FOIS 145A'!$C$2:$C$22)*(1+IF(Settings!$B$11="Y",0,Settings!$B$10/100)),"")),"")</f>
        <v/>
      </c>
      <c r="X59" s="6">
        <f>IF(AND(ISNUMBER(U59),ISNUMBER(W59)),U59+W59,"")</f>
        <v/>
      </c>
      <c r="Y59">
        <f>Settings!$B$6</f>
        <v/>
      </c>
    </row>
    <row r="60">
      <c r="A60" s="7" t="inlineStr">
        <is>
          <t>Borderline</t>
        </is>
      </c>
      <c r="B60" t="inlineStr">
        <is>
          <t>mine named in title</t>
        </is>
      </c>
      <c r="C60" t="inlineStr">
        <is>
          <t>Baikunthpur / Chirimiri (Korea)</t>
        </is>
      </c>
      <c r="D60" t="n">
        <v>174</v>
      </c>
      <c r="E60" t="inlineStr"/>
      <c r="G60" t="n">
        <v>174</v>
      </c>
      <c r="H60" t="inlineStr">
        <is>
          <t>17026374</t>
        </is>
      </c>
      <c r="I60" t="inlineStr">
        <is>
          <t>GEM/2026/B/7088635</t>
        </is>
      </c>
      <c r="J60" t="inlineStr">
        <is>
          <t>handling service, handling &amp; transport service, transport service, hiring of tippers for transportation of coal and loading of coal at ncph r6 mine at chirimiri area</t>
        </is>
      </c>
      <c r="K60" t="inlineStr">
        <is>
          <t>Coal transport (road)</t>
        </is>
      </c>
      <c r="L60" t="inlineStr">
        <is>
          <t>South Eastern Coalfields Limited</t>
        </is>
      </c>
      <c r="M60" t="inlineStr">
        <is>
          <t>Chhattisgarh</t>
        </is>
      </c>
      <c r="N60" t="inlineStr">
        <is>
          <t>Korea</t>
        </is>
      </c>
      <c r="O60" s="5" t="n">
        <v>46046</v>
      </c>
      <c r="P60" t="inlineStr">
        <is>
          <t>AOC</t>
        </is>
      </c>
      <c r="Q60" t="inlineStr">
        <is>
          <t>Nakul Tiwari</t>
        </is>
      </c>
      <c r="R60" t="inlineStr">
        <is>
          <t>G K Associates, Chandan Kumar Singh</t>
        </is>
      </c>
      <c r="S60" t="inlineStr">
        <is>
          <t>5 named / 6</t>
        </is>
      </c>
      <c r="T60" t="n">
        <v>7.23</v>
      </c>
      <c r="U60" s="6">
        <f>IF(ISNUMBER(G60),MAX(MAX(G60,Settings!$B$13)*Settings!$B$7*Settings!$B$5,IF(ISNUMBER(Settings!$B$12),Settings!$B$12,0))*(1+IF(Settings!$B$11="Y",0,Settings!$B$10/100))+N(Settings!$B$9),"")</f>
        <v/>
      </c>
      <c r="W60" s="6">
        <f>IF(ISNUMBER(V60),IF(V60*Settings!$B$8&gt;1000,"beyond table",IFERROR(LOOKUP(V60*Settings!$B$8,'FOIS 145A'!$A$2:$A$22,'FOIS 145A'!$C$2:$C$22)*(1+IF(Settings!$B$11="Y",0,Settings!$B$10/100)),"")),"")</f>
        <v/>
      </c>
      <c r="X60" s="6">
        <f>IF(AND(ISNUMBER(U60),ISNUMBER(W60)),U60+W60,"")</f>
        <v/>
      </c>
      <c r="Y60">
        <f>Settings!$B$6</f>
        <v/>
      </c>
    </row>
    <row r="61">
      <c r="A61" s="7" t="inlineStr">
        <is>
          <t>Borderline</t>
        </is>
      </c>
      <c r="B61" t="inlineStr">
        <is>
          <t>mine = coal company's tender city; siding = same area</t>
        </is>
      </c>
      <c r="C61" t="inlineStr">
        <is>
          <t>Baikunthpur / Chirimiri (Korea) (tender city)</t>
        </is>
      </c>
      <c r="D61" t="n">
        <v>174</v>
      </c>
      <c r="E61" t="inlineStr">
        <is>
          <t>Baikunthpur / Chirimiri (Korea) (tender city)</t>
        </is>
      </c>
      <c r="F61" t="n">
        <v>174</v>
      </c>
      <c r="G61" t="n">
        <v>174</v>
      </c>
      <c r="H61" t="inlineStr">
        <is>
          <t>14761654</t>
        </is>
      </c>
      <c r="I61" t="inlineStr">
        <is>
          <t>GEM/2025/B/6531525</t>
        </is>
      </c>
      <c r="J61" t="inlineStr">
        <is>
          <t>coal transportation from k</t>
        </is>
      </c>
      <c r="K61" t="inlineStr">
        <is>
          <t>Coal transport (road)</t>
        </is>
      </c>
      <c r="L61" t="inlineStr">
        <is>
          <t>South Eastern Coalfields Limited</t>
        </is>
      </c>
      <c r="M61" t="inlineStr">
        <is>
          <t>Chhattisgarh</t>
        </is>
      </c>
      <c r="N61" t="inlineStr">
        <is>
          <t>Korea</t>
        </is>
      </c>
      <c r="O61" s="5" t="n">
        <v>45883</v>
      </c>
      <c r="P61" t="inlineStr">
        <is>
          <t>AOC</t>
        </is>
      </c>
      <c r="Q61" t="inlineStr">
        <is>
          <t>Ajay Shrivas</t>
        </is>
      </c>
      <c r="R61" t="inlineStr"/>
      <c r="S61" t="inlineStr">
        <is>
          <t>3 named / 3</t>
        </is>
      </c>
      <c r="T61" t="n">
        <v>0.41</v>
      </c>
      <c r="U61" s="6">
        <f>IF(ISNUMBER(G61),MAX(MAX(G61,Settings!$B$13)*Settings!$B$7*Settings!$B$5,IF(ISNUMBER(Settings!$B$12),Settings!$B$12,0))*(1+IF(Settings!$B$11="Y",0,Settings!$B$10/100))+N(Settings!$B$9),"")</f>
        <v/>
      </c>
      <c r="W61" s="6">
        <f>IF(ISNUMBER(V61),IF(V61*Settings!$B$8&gt;1000,"beyond table",IFERROR(LOOKUP(V61*Settings!$B$8,'FOIS 145A'!$A$2:$A$22,'FOIS 145A'!$C$2:$C$22)*(1+IF(Settings!$B$11="Y",0,Settings!$B$10/100)),"")),"")</f>
        <v/>
      </c>
      <c r="X61" s="6">
        <f>IF(AND(ISNUMBER(U61),ISNUMBER(W61)),U61+W61,"")</f>
        <v/>
      </c>
      <c r="Y61">
        <f>Settings!$B$6</f>
        <v/>
      </c>
    </row>
    <row r="62">
      <c r="A62" s="7" t="inlineStr">
        <is>
          <t>Borderline</t>
        </is>
      </c>
      <c r="B62" t="inlineStr">
        <is>
          <t>mine named in title</t>
        </is>
      </c>
      <c r="C62" t="inlineStr">
        <is>
          <t>Baikunthpur / Chirimiri (Korea)</t>
        </is>
      </c>
      <c r="D62" t="n">
        <v>174</v>
      </c>
      <c r="E62" t="inlineStr"/>
      <c r="G62" t="n">
        <v>174</v>
      </c>
      <c r="H62" t="inlineStr">
        <is>
          <t>14370610</t>
        </is>
      </c>
      <c r="I62" t="inlineStr">
        <is>
          <t>GEM/2025/B/6354284</t>
        </is>
      </c>
      <c r="J62" t="inlineStr">
        <is>
          <t>handling ,transport and other mining services - percentagequote based - handling &amp; transport service, loading andtransportation of coal at rani atari chirimiri area</t>
        </is>
      </c>
      <c r="K62" t="inlineStr">
        <is>
          <t>Coal transport (road)</t>
        </is>
      </c>
      <c r="L62" t="inlineStr">
        <is>
          <t>South Eastern Coalfields Limited</t>
        </is>
      </c>
      <c r="M62" t="inlineStr">
        <is>
          <t>Chhattisgarh</t>
        </is>
      </c>
      <c r="N62" t="inlineStr">
        <is>
          <t>Korea</t>
        </is>
      </c>
      <c r="O62" s="5" t="n">
        <v>45845</v>
      </c>
      <c r="P62" t="inlineStr">
        <is>
          <t>AOC</t>
        </is>
      </c>
      <c r="Q62" t="inlineStr">
        <is>
          <t>G K Associates</t>
        </is>
      </c>
      <c r="R62" t="inlineStr"/>
      <c r="S62" t="inlineStr">
        <is>
          <t>5 named / 29</t>
        </is>
      </c>
      <c r="T62" t="n">
        <v>81.11</v>
      </c>
      <c r="U62" s="6">
        <f>IF(ISNUMBER(G62),MAX(MAX(G62,Settings!$B$13)*Settings!$B$7*Settings!$B$5,IF(ISNUMBER(Settings!$B$12),Settings!$B$12,0))*(1+IF(Settings!$B$11="Y",0,Settings!$B$10/100))+N(Settings!$B$9),"")</f>
        <v/>
      </c>
      <c r="W62" s="6">
        <f>IF(ISNUMBER(V62),IF(V62*Settings!$B$8&gt;1000,"beyond table",IFERROR(LOOKUP(V62*Settings!$B$8,'FOIS 145A'!$A$2:$A$22,'FOIS 145A'!$C$2:$C$22)*(1+IF(Settings!$B$11="Y",0,Settings!$B$10/100)),"")),"")</f>
        <v/>
      </c>
      <c r="X62" s="6">
        <f>IF(AND(ISNUMBER(U62),ISNUMBER(W62)),U62+W62,"")</f>
        <v/>
      </c>
      <c r="Y62">
        <f>Settings!$B$6</f>
        <v/>
      </c>
    </row>
    <row r="63">
      <c r="A63" s="7" t="inlineStr">
        <is>
          <t>Borderline</t>
        </is>
      </c>
      <c r="B63" t="inlineStr">
        <is>
          <t>mine = coal company's tender city; siding = same area</t>
        </is>
      </c>
      <c r="C63" t="inlineStr">
        <is>
          <t>Baikunthpur / Chirimiri (Korea) (tender city)</t>
        </is>
      </c>
      <c r="D63" t="n">
        <v>174</v>
      </c>
      <c r="E63" t="inlineStr">
        <is>
          <t>Baikunthpur / Chirimiri (Korea) (tender city)</t>
        </is>
      </c>
      <c r="F63" t="n">
        <v>174</v>
      </c>
      <c r="G63" t="n">
        <v>174</v>
      </c>
      <c r="H63" t="inlineStr">
        <is>
          <t>13712378</t>
        </is>
      </c>
      <c r="I63" t="inlineStr">
        <is>
          <t>GEM/2025/B/6218223</t>
        </is>
      </c>
      <c r="J63" t="inlineStr">
        <is>
          <t>handling &amp; transport servi</t>
        </is>
      </c>
      <c r="K63" t="inlineStr">
        <is>
          <t>Coal transport (road)</t>
        </is>
      </c>
      <c r="L63" t="inlineStr">
        <is>
          <t>South Eastern Coalfields Limited</t>
        </is>
      </c>
      <c r="M63" t="inlineStr">
        <is>
          <t>Chhattisgarh</t>
        </is>
      </c>
      <c r="N63" t="inlineStr">
        <is>
          <t>Korea</t>
        </is>
      </c>
      <c r="O63" s="5" t="n">
        <v>45803</v>
      </c>
      <c r="P63" t="inlineStr">
        <is>
          <t>AOC</t>
        </is>
      </c>
      <c r="Q63" t="inlineStr">
        <is>
          <t>Dadan Singh Llp</t>
        </is>
      </c>
      <c r="R63" t="inlineStr">
        <is>
          <t>G K Associates, Chandan Kumar Singh</t>
        </is>
      </c>
      <c r="S63" t="inlineStr">
        <is>
          <t>5 named / 7</t>
        </is>
      </c>
      <c r="T63" t="n">
        <v>7.05</v>
      </c>
      <c r="U63" s="6">
        <f>IF(ISNUMBER(G63),MAX(MAX(G63,Settings!$B$13)*Settings!$B$7*Settings!$B$5,IF(ISNUMBER(Settings!$B$12),Settings!$B$12,0))*(1+IF(Settings!$B$11="Y",0,Settings!$B$10/100))+N(Settings!$B$9),"")</f>
        <v/>
      </c>
      <c r="W63" s="6">
        <f>IF(ISNUMBER(V63),IF(V63*Settings!$B$8&gt;1000,"beyond table",IFERROR(LOOKUP(V63*Settings!$B$8,'FOIS 145A'!$A$2:$A$22,'FOIS 145A'!$C$2:$C$22)*(1+IF(Settings!$B$11="Y",0,Settings!$B$10/100)),"")),"")</f>
        <v/>
      </c>
      <c r="X63" s="6">
        <f>IF(AND(ISNUMBER(U63),ISNUMBER(W63)),U63+W63,"")</f>
        <v/>
      </c>
      <c r="Y63">
        <f>Settings!$B$6</f>
        <v/>
      </c>
    </row>
    <row r="64">
      <c r="A64" s="7" t="inlineStr">
        <is>
          <t>Borderline</t>
        </is>
      </c>
      <c r="B64" t="inlineStr">
        <is>
          <t>mine = coal company's tender city; siding = same area</t>
        </is>
      </c>
      <c r="C64" t="inlineStr">
        <is>
          <t>Baikunthpur / Chirimiri (Korea) (tender city)</t>
        </is>
      </c>
      <c r="D64" t="n">
        <v>174</v>
      </c>
      <c r="E64" t="inlineStr">
        <is>
          <t>Baikunthpur / Chirimiri (Korea) (tender city)</t>
        </is>
      </c>
      <c r="F64" t="n">
        <v>174</v>
      </c>
      <c r="G64" t="n">
        <v>174</v>
      </c>
      <c r="H64" t="inlineStr">
        <is>
          <t>13609214</t>
        </is>
      </c>
      <c r="I64" t="inlineStr">
        <is>
          <t>GEM/2025/B/6201579</t>
        </is>
      </c>
      <c r="J64" t="inlineStr">
        <is>
          <t>loading and transportation</t>
        </is>
      </c>
      <c r="K64" t="inlineStr">
        <is>
          <t>Coal transport (road)</t>
        </is>
      </c>
      <c r="L64" t="inlineStr">
        <is>
          <t>South Eastern Coalfields Limited</t>
        </is>
      </c>
      <c r="M64" t="inlineStr">
        <is>
          <t>Chhattisgarh</t>
        </is>
      </c>
      <c r="N64" t="inlineStr">
        <is>
          <t>Korea</t>
        </is>
      </c>
      <c r="O64" s="5" t="n">
        <v>45798</v>
      </c>
      <c r="P64" t="inlineStr">
        <is>
          <t>AOC</t>
        </is>
      </c>
      <c r="Q64" t="inlineStr">
        <is>
          <t>M/S Ramesh Kumar Agrawal And Sons</t>
        </is>
      </c>
      <c r="R64" t="inlineStr">
        <is>
          <t>G K Associates</t>
        </is>
      </c>
      <c r="S64" t="inlineStr">
        <is>
          <t>5 named / 10</t>
        </is>
      </c>
      <c r="T64" t="n">
        <v>7</v>
      </c>
      <c r="U64" s="6">
        <f>IF(ISNUMBER(G64),MAX(MAX(G64,Settings!$B$13)*Settings!$B$7*Settings!$B$5,IF(ISNUMBER(Settings!$B$12),Settings!$B$12,0))*(1+IF(Settings!$B$11="Y",0,Settings!$B$10/100))+N(Settings!$B$9),"")</f>
        <v/>
      </c>
      <c r="W64" s="6">
        <f>IF(ISNUMBER(V64),IF(V64*Settings!$B$8&gt;1000,"beyond table",IFERROR(LOOKUP(V64*Settings!$B$8,'FOIS 145A'!$A$2:$A$22,'FOIS 145A'!$C$2:$C$22)*(1+IF(Settings!$B$11="Y",0,Settings!$B$10/100)),"")),"")</f>
        <v/>
      </c>
      <c r="X64" s="6">
        <f>IF(AND(ISNUMBER(U64),ISNUMBER(W64)),U64+W64,"")</f>
        <v/>
      </c>
      <c r="Y64">
        <f>Settings!$B$6</f>
        <v/>
      </c>
    </row>
    <row r="65">
      <c r="A65" s="7" t="inlineStr">
        <is>
          <t>Borderline</t>
        </is>
      </c>
      <c r="B65" t="inlineStr">
        <is>
          <t>mine = coal company's tender city; siding = same area</t>
        </is>
      </c>
      <c r="C65" t="inlineStr">
        <is>
          <t>Baikunthpur / Chirimiri (Korea) (tender city)</t>
        </is>
      </c>
      <c r="D65" t="n">
        <v>174</v>
      </c>
      <c r="E65" t="inlineStr">
        <is>
          <t>Baikunthpur / Chirimiri (Korea) (tender city)</t>
        </is>
      </c>
      <c r="F65" t="n">
        <v>174</v>
      </c>
      <c r="G65" t="n">
        <v>174</v>
      </c>
      <c r="H65" t="inlineStr">
        <is>
          <t>13485534</t>
        </is>
      </c>
      <c r="I65" t="inlineStr">
        <is>
          <t>GEM/2025/B/6155880</t>
        </is>
      </c>
      <c r="J65" t="inlineStr">
        <is>
          <t>handling &amp; transport servi</t>
        </is>
      </c>
      <c r="K65" t="inlineStr">
        <is>
          <t>Coal transport (road)</t>
        </is>
      </c>
      <c r="L65" t="inlineStr">
        <is>
          <t>South Eastern Coalfields Limited</t>
        </is>
      </c>
      <c r="M65" t="inlineStr">
        <is>
          <t>Chhattisgarh</t>
        </is>
      </c>
      <c r="N65" t="inlineStr">
        <is>
          <t>Korea</t>
        </is>
      </c>
      <c r="O65" s="5" t="n">
        <v>45784</v>
      </c>
      <c r="P65" t="inlineStr">
        <is>
          <t>AOC</t>
        </is>
      </c>
      <c r="Q65" t="inlineStr">
        <is>
          <t>M/S Chandan Kumar Singh</t>
        </is>
      </c>
      <c r="R65" t="inlineStr"/>
      <c r="S65" t="inlineStr">
        <is>
          <t>5 named / 8</t>
        </is>
      </c>
      <c r="T65" t="n">
        <v>5.33</v>
      </c>
      <c r="U65" s="6">
        <f>IF(ISNUMBER(G65),MAX(MAX(G65,Settings!$B$13)*Settings!$B$7*Settings!$B$5,IF(ISNUMBER(Settings!$B$12),Settings!$B$12,0))*(1+IF(Settings!$B$11="Y",0,Settings!$B$10/100))+N(Settings!$B$9),"")</f>
        <v/>
      </c>
      <c r="W65" s="6">
        <f>IF(ISNUMBER(V65),IF(V65*Settings!$B$8&gt;1000,"beyond table",IFERROR(LOOKUP(V65*Settings!$B$8,'FOIS 145A'!$A$2:$A$22,'FOIS 145A'!$C$2:$C$22)*(1+IF(Settings!$B$11="Y",0,Settings!$B$10/100)),"")),"")</f>
        <v/>
      </c>
      <c r="X65" s="6">
        <f>IF(AND(ISNUMBER(U65),ISNUMBER(W65)),U65+W65,"")</f>
        <v/>
      </c>
      <c r="Y65">
        <f>Settings!$B$6</f>
        <v/>
      </c>
    </row>
    <row r="66">
      <c r="A66" s="7" t="inlineStr">
        <is>
          <t>Borderline</t>
        </is>
      </c>
      <c r="B66" t="inlineStr">
        <is>
          <t>mine = coal company's tender city; siding = same area</t>
        </is>
      </c>
      <c r="C66" t="inlineStr">
        <is>
          <t>Baikunthpur / Chirimiri (Korea) (tender city)</t>
        </is>
      </c>
      <c r="D66" t="n">
        <v>174</v>
      </c>
      <c r="E66" t="inlineStr">
        <is>
          <t>Baikunthpur / Chirimiri (Korea) (tender city)</t>
        </is>
      </c>
      <c r="F66" t="n">
        <v>174</v>
      </c>
      <c r="G66" t="n">
        <v>174</v>
      </c>
      <c r="H66" t="inlineStr">
        <is>
          <t>13513655</t>
        </is>
      </c>
      <c r="I66" t="inlineStr">
        <is>
          <t>GEM/2025/B/6174810</t>
        </is>
      </c>
      <c r="J66" t="inlineStr">
        <is>
          <t>coal transportation from k</t>
        </is>
      </c>
      <c r="K66" t="inlineStr">
        <is>
          <t>Coal transport (road)</t>
        </is>
      </c>
      <c r="L66" t="inlineStr">
        <is>
          <t>South Eastern Coalfields Limited</t>
        </is>
      </c>
      <c r="M66" t="inlineStr">
        <is>
          <t>Chhattisgarh</t>
        </is>
      </c>
      <c r="N66" t="inlineStr">
        <is>
          <t>Korea</t>
        </is>
      </c>
      <c r="O66" s="5" t="n">
        <v>45783</v>
      </c>
      <c r="P66" t="inlineStr">
        <is>
          <t>AOC</t>
        </is>
      </c>
      <c r="Q66" t="inlineStr">
        <is>
          <t>Harsh Roadlines Private Limited</t>
        </is>
      </c>
      <c r="R66" t="inlineStr"/>
      <c r="S66" t="inlineStr">
        <is>
          <t>4 named / 4</t>
        </is>
      </c>
      <c r="T66" t="n">
        <v>0.41</v>
      </c>
      <c r="U66" s="6">
        <f>IF(ISNUMBER(G66),MAX(MAX(G66,Settings!$B$13)*Settings!$B$7*Settings!$B$5,IF(ISNUMBER(Settings!$B$12),Settings!$B$12,0))*(1+IF(Settings!$B$11="Y",0,Settings!$B$10/100))+N(Settings!$B$9),"")</f>
        <v/>
      </c>
      <c r="W66" s="6">
        <f>IF(ISNUMBER(V66),IF(V66*Settings!$B$8&gt;1000,"beyond table",IFERROR(LOOKUP(V66*Settings!$B$8,'FOIS 145A'!$A$2:$A$22,'FOIS 145A'!$C$2:$C$22)*(1+IF(Settings!$B$11="Y",0,Settings!$B$10/100)),"")),"")</f>
        <v/>
      </c>
      <c r="X66" s="6">
        <f>IF(AND(ISNUMBER(U66),ISNUMBER(W66)),U66+W66,"")</f>
        <v/>
      </c>
      <c r="Y66">
        <f>Settings!$B$6</f>
        <v/>
      </c>
    </row>
    <row r="67">
      <c r="A67" s="7" t="inlineStr">
        <is>
          <t>Borderline</t>
        </is>
      </c>
      <c r="B67" t="inlineStr">
        <is>
          <t>mine = coal company's tender city; siding = same area</t>
        </is>
      </c>
      <c r="C67" t="inlineStr">
        <is>
          <t>Baikunthpur / Chirimiri (Korea) (tender city)</t>
        </is>
      </c>
      <c r="D67" t="n">
        <v>174</v>
      </c>
      <c r="E67" t="inlineStr">
        <is>
          <t>Baikunthpur / Chirimiri (Korea) (tender city)</t>
        </is>
      </c>
      <c r="F67" t="n">
        <v>174</v>
      </c>
      <c r="G67" t="n">
        <v>174</v>
      </c>
      <c r="H67" t="inlineStr">
        <is>
          <t>13180185</t>
        </is>
      </c>
      <c r="I67" t="inlineStr">
        <is>
          <t>GEM/2025/B/6070928</t>
        </is>
      </c>
      <c r="J67" t="inlineStr">
        <is>
          <t>hiring of payloader for lo</t>
        </is>
      </c>
      <c r="K67" t="inlineStr">
        <is>
          <t>Other</t>
        </is>
      </c>
      <c r="L67" t="inlineStr">
        <is>
          <t>South Eastern Coalfields Limited</t>
        </is>
      </c>
      <c r="M67" t="inlineStr">
        <is>
          <t>Chhattisgarh</t>
        </is>
      </c>
      <c r="N67" t="inlineStr">
        <is>
          <t>Korea</t>
        </is>
      </c>
      <c r="O67" s="5" t="n">
        <v>45751</v>
      </c>
      <c r="P67" t="inlineStr">
        <is>
          <t>AOC</t>
        </is>
      </c>
      <c r="Q67" t="inlineStr">
        <is>
          <t>G K Associates</t>
        </is>
      </c>
      <c r="R67" t="inlineStr">
        <is>
          <t>G K Associates</t>
        </is>
      </c>
      <c r="S67" t="inlineStr">
        <is>
          <t>5 named / 14</t>
        </is>
      </c>
      <c r="T67" t="n">
        <v>37.74</v>
      </c>
      <c r="U67" s="6">
        <f>IF(ISNUMBER(G67),MAX(MAX(G67,Settings!$B$13)*Settings!$B$7*Settings!$B$5,IF(ISNUMBER(Settings!$B$12),Settings!$B$12,0))*(1+IF(Settings!$B$11="Y",0,Settings!$B$10/100))+N(Settings!$B$9),"")</f>
        <v/>
      </c>
      <c r="W67" s="6">
        <f>IF(ISNUMBER(V67),IF(V67*Settings!$B$8&gt;1000,"beyond table",IFERROR(LOOKUP(V67*Settings!$B$8,'FOIS 145A'!$A$2:$A$22,'FOIS 145A'!$C$2:$C$22)*(1+IF(Settings!$B$11="Y",0,Settings!$B$10/100)),"")),"")</f>
        <v/>
      </c>
      <c r="X67" s="6">
        <f>IF(AND(ISNUMBER(U67),ISNUMBER(W67)),U67+W67,"")</f>
        <v/>
      </c>
      <c r="Y67">
        <f>Settings!$B$6</f>
        <v/>
      </c>
    </row>
    <row r="68">
      <c r="A68" s="7" t="inlineStr">
        <is>
          <t>Borderline</t>
        </is>
      </c>
      <c r="B68" t="inlineStr">
        <is>
          <t>mine = coal company's tender city; siding = same area</t>
        </is>
      </c>
      <c r="C68" t="inlineStr">
        <is>
          <t>Baikunthpur / Chirimiri (Korea) (tender city)</t>
        </is>
      </c>
      <c r="D68" t="n">
        <v>174</v>
      </c>
      <c r="E68" t="inlineStr">
        <is>
          <t>Baikunthpur / Chirimiri (Korea) (tender city)</t>
        </is>
      </c>
      <c r="F68" t="n">
        <v>174</v>
      </c>
      <c r="G68" t="n">
        <v>174</v>
      </c>
      <c r="H68" t="inlineStr">
        <is>
          <t>13097848</t>
        </is>
      </c>
      <c r="I68" t="inlineStr">
        <is>
          <t>GEM/2025/B/6038225</t>
        </is>
      </c>
      <c r="J68" t="inlineStr">
        <is>
          <t>hiring of pay loader for l</t>
        </is>
      </c>
      <c r="K68" t="inlineStr">
        <is>
          <t>Other</t>
        </is>
      </c>
      <c r="L68" t="inlineStr">
        <is>
          <t>South Eastern Coalfields Limited</t>
        </is>
      </c>
      <c r="M68" t="inlineStr">
        <is>
          <t>Chhattisgarh</t>
        </is>
      </c>
      <c r="N68" t="inlineStr">
        <is>
          <t>Korea</t>
        </is>
      </c>
      <c r="O68" s="5" t="n">
        <v>45740</v>
      </c>
      <c r="P68" t="inlineStr">
        <is>
          <t>AOC</t>
        </is>
      </c>
      <c r="Q68" t="inlineStr">
        <is>
          <t>G K Associates, M/S Ramesh Kumar Agrawal And Sons, Vivek Construction</t>
        </is>
      </c>
      <c r="R68" t="inlineStr">
        <is>
          <t>G K Associates</t>
        </is>
      </c>
      <c r="S68" t="inlineStr">
        <is>
          <t>5 named / 17</t>
        </is>
      </c>
      <c r="T68" t="n">
        <v>25.16</v>
      </c>
      <c r="U68" s="6">
        <f>IF(ISNUMBER(G68),MAX(MAX(G68,Settings!$B$13)*Settings!$B$7*Settings!$B$5,IF(ISNUMBER(Settings!$B$12),Settings!$B$12,0))*(1+IF(Settings!$B$11="Y",0,Settings!$B$10/100))+N(Settings!$B$9),"")</f>
        <v/>
      </c>
      <c r="W68" s="6">
        <f>IF(ISNUMBER(V68),IF(V68*Settings!$B$8&gt;1000,"beyond table",IFERROR(LOOKUP(V68*Settings!$B$8,'FOIS 145A'!$A$2:$A$22,'FOIS 145A'!$C$2:$C$22)*(1+IF(Settings!$B$11="Y",0,Settings!$B$10/100)),"")),"")</f>
        <v/>
      </c>
      <c r="X68" s="6">
        <f>IF(AND(ISNUMBER(U68),ISNUMBER(W68)),U68+W68,"")</f>
        <v/>
      </c>
      <c r="Y68">
        <f>Settings!$B$6</f>
        <v/>
      </c>
    </row>
    <row r="69">
      <c r="A69" t="inlineStr">
        <is>
          <t>Unknown</t>
        </is>
      </c>
      <c r="B69" t="inlineStr">
        <is>
          <t>mine named in title</t>
        </is>
      </c>
      <c r="C69" t="inlineStr">
        <is>
          <t>Talcher / Angul</t>
        </is>
      </c>
      <c r="D69" t="n">
        <v>217</v>
      </c>
      <c r="E69" t="inlineStr"/>
      <c r="G69" t="n">
        <v>217</v>
      </c>
      <c r="H69" t="inlineStr">
        <is>
          <t>17648465</t>
        </is>
      </c>
      <c r="I69" t="inlineStr">
        <is>
          <t>GEM/2026/B/7395324</t>
        </is>
      </c>
      <c r="J69" t="inlineStr">
        <is>
          <t>loading and transportation of coal from stock yards of ananta ocp jagannath area to siding lmgti and lmgtii of lingraj area mcl</t>
        </is>
      </c>
      <c r="K69" t="inlineStr">
        <is>
          <t>Coal transport (RCR / siding)</t>
        </is>
      </c>
      <c r="L69" t="inlineStr">
        <is>
          <t>Mahanadi Coalfields Limited</t>
        </is>
      </c>
      <c r="M69" t="inlineStr">
        <is>
          <t>Orissa</t>
        </is>
      </c>
      <c r="N69" t="inlineStr">
        <is>
          <t>Angul</t>
        </is>
      </c>
      <c r="O69" s="5" t="n">
        <v>46125</v>
      </c>
      <c r="P69" t="inlineStr">
        <is>
          <t>Financial</t>
        </is>
      </c>
      <c r="Q69" t="inlineStr">
        <is>
          <t>-</t>
        </is>
      </c>
      <c r="R69" t="inlineStr">
        <is>
          <t>Saikrupa Coal Supplier</t>
        </is>
      </c>
      <c r="S69" t="inlineStr">
        <is>
          <t>5 named / 8</t>
        </is>
      </c>
      <c r="U69" s="6">
        <f>IF(ISNUMBER(G69),MAX(MAX(G69,Settings!$B$13)*Settings!$B$7*Settings!$B$5,IF(ISNUMBER(Settings!$B$12),Settings!$B$12,0))*(1+IF(Settings!$B$11="Y",0,Settings!$B$10/100))+N(Settings!$B$9),"")</f>
        <v/>
      </c>
      <c r="W69" s="6">
        <f>IF(ISNUMBER(V69),IF(V69*Settings!$B$8&gt;1000,"beyond table",IFERROR(LOOKUP(V69*Settings!$B$8,'FOIS 145A'!$A$2:$A$22,'FOIS 145A'!$C$2:$C$22)*(1+IF(Settings!$B$11="Y",0,Settings!$B$10/100)),"")),"")</f>
        <v/>
      </c>
      <c r="X69" s="6">
        <f>IF(AND(ISNUMBER(U69),ISNUMBER(W69)),U69+W69,"")</f>
        <v/>
      </c>
      <c r="Y69">
        <f>Settings!$B$6</f>
        <v/>
      </c>
    </row>
    <row r="70">
      <c r="A70" t="inlineStr">
        <is>
          <t>Unknown</t>
        </is>
      </c>
      <c r="B70" t="inlineStr">
        <is>
          <t>plant = tender city</t>
        </is>
      </c>
      <c r="C70" t="inlineStr"/>
      <c r="E70" t="inlineStr">
        <is>
          <t>Talcher / Angul (tender city)</t>
        </is>
      </c>
      <c r="F70" t="n">
        <v>217</v>
      </c>
      <c r="G70" t="n">
        <v>217</v>
      </c>
      <c r="H70" t="inlineStr">
        <is>
          <t>17906545</t>
        </is>
      </c>
      <c r="I70" t="inlineStr">
        <is>
          <t>GEM/2026/B/7405314</t>
        </is>
      </c>
      <c r="J70" t="inlineStr">
        <is>
          <t>loading of yard coal into nalco wagons by pc-210 and pc-220  pay loader at foph siding and chp-3 extension stockyard</t>
        </is>
      </c>
      <c r="K70" t="inlineStr">
        <is>
          <t>Loading / handling / crushing</t>
        </is>
      </c>
      <c r="L70" t="inlineStr">
        <is>
          <t>National Aluminium Company Limited</t>
        </is>
      </c>
      <c r="M70" t="inlineStr">
        <is>
          <t>Orissa</t>
        </is>
      </c>
      <c r="N70" t="inlineStr">
        <is>
          <t>Angul</t>
        </is>
      </c>
      <c r="O70" s="5" t="n">
        <v>46149</v>
      </c>
      <c r="P70" t="inlineStr">
        <is>
          <t>AOC</t>
        </is>
      </c>
      <c r="Q70" t="inlineStr">
        <is>
          <t xml:space="preserve">M/S Govinda Enterprises </t>
        </is>
      </c>
      <c r="R70" t="inlineStr"/>
      <c r="S70" t="inlineStr">
        <is>
          <t>5 named / 11</t>
        </is>
      </c>
      <c r="T70" t="n">
        <v>4</v>
      </c>
      <c r="U70" s="6">
        <f>IF(ISNUMBER(G70),MAX(MAX(G70,Settings!$B$13)*Settings!$B$7*Settings!$B$5,IF(ISNUMBER(Settings!$B$12),Settings!$B$12,0))*(1+IF(Settings!$B$11="Y",0,Settings!$B$10/100))+N(Settings!$B$9),"")</f>
        <v/>
      </c>
      <c r="W70" s="6">
        <f>IF(ISNUMBER(V70),IF(V70*Settings!$B$8&gt;1000,"beyond table",IFERROR(LOOKUP(V70*Settings!$B$8,'FOIS 145A'!$A$2:$A$22,'FOIS 145A'!$C$2:$C$22)*(1+IF(Settings!$B$11="Y",0,Settings!$B$10/100)),"")),"")</f>
        <v/>
      </c>
      <c r="X70" s="6">
        <f>IF(AND(ISNUMBER(U70),ISNUMBER(W70)),U70+W70,"")</f>
        <v/>
      </c>
      <c r="Y70">
        <f>Settings!$B$6</f>
        <v/>
      </c>
    </row>
    <row r="71">
      <c r="A71" t="inlineStr">
        <is>
          <t>Unknown</t>
        </is>
      </c>
      <c r="B71" t="inlineStr">
        <is>
          <t>plant = tender city</t>
        </is>
      </c>
      <c r="C71" t="inlineStr"/>
      <c r="E71" t="inlineStr">
        <is>
          <t>Talcher / Angul (tender city)</t>
        </is>
      </c>
      <c r="F71" t="n">
        <v>217</v>
      </c>
      <c r="G71" t="n">
        <v>217</v>
      </c>
      <c r="H71" t="inlineStr">
        <is>
          <t>17596798</t>
        </is>
      </c>
      <c r="I71" t="inlineStr">
        <is>
          <t>GEM/2025/B/7004499</t>
        </is>
      </c>
      <c r="J71" t="inlineStr">
        <is>
          <t>coordination liasion, loading, supervision and movement of coal rakes for linkage coal and e-auction coal supplied through railway bobrn rakes</t>
        </is>
      </c>
      <c r="K71" t="inlineStr">
        <is>
          <t>Loading / handling / crushing</t>
        </is>
      </c>
      <c r="L71" t="inlineStr">
        <is>
          <t>National Aluminium Company Limited</t>
        </is>
      </c>
      <c r="M71" t="inlineStr">
        <is>
          <t>Orissa</t>
        </is>
      </c>
      <c r="N71" t="inlineStr">
        <is>
          <t>Angul</t>
        </is>
      </c>
      <c r="O71" s="5" t="n">
        <v>46043</v>
      </c>
      <c r="P71" t="inlineStr">
        <is>
          <t>AOC</t>
        </is>
      </c>
      <c r="Q71" t="inlineStr">
        <is>
          <t>Coalsale Company Limited</t>
        </is>
      </c>
      <c r="R71" t="inlineStr">
        <is>
          <t>Anoop Road Carriers, Godavari Commodities</t>
        </is>
      </c>
      <c r="S71" t="inlineStr">
        <is>
          <t>5 named / 10</t>
        </is>
      </c>
      <c r="T71" t="n">
        <v>1.32</v>
      </c>
      <c r="U71" s="6">
        <f>IF(ISNUMBER(G71),MAX(MAX(G71,Settings!$B$13)*Settings!$B$7*Settings!$B$5,IF(ISNUMBER(Settings!$B$12),Settings!$B$12,0))*(1+IF(Settings!$B$11="Y",0,Settings!$B$10/100))+N(Settings!$B$9),"")</f>
        <v/>
      </c>
      <c r="W71" s="6">
        <f>IF(ISNUMBER(V71),IF(V71*Settings!$B$8&gt;1000,"beyond table",IFERROR(LOOKUP(V71*Settings!$B$8,'FOIS 145A'!$A$2:$A$22,'FOIS 145A'!$C$2:$C$22)*(1+IF(Settings!$B$11="Y",0,Settings!$B$10/100)),"")),"")</f>
        <v/>
      </c>
      <c r="X71" s="6">
        <f>IF(AND(ISNUMBER(U71),ISNUMBER(W71)),U71+W71,"")</f>
        <v/>
      </c>
      <c r="Y71">
        <f>Settings!$B$6</f>
        <v/>
      </c>
    </row>
    <row r="72">
      <c r="A72" t="inlineStr">
        <is>
          <t>Unknown</t>
        </is>
      </c>
      <c r="B72" t="inlineStr">
        <is>
          <t>plant = tender city</t>
        </is>
      </c>
      <c r="C72" t="inlineStr"/>
      <c r="E72" t="inlineStr">
        <is>
          <t>Talcher / Angul (tender city)</t>
        </is>
      </c>
      <c r="F72" t="n">
        <v>217</v>
      </c>
      <c r="G72" t="n">
        <v>217</v>
      </c>
      <c r="H72" t="inlineStr">
        <is>
          <t>15581027</t>
        </is>
      </c>
      <c r="I72" t="inlineStr">
        <is>
          <t>GEM/2025/B/6475875</t>
        </is>
      </c>
      <c r="J72" t="inlineStr">
        <is>
          <t>unloading of coal frombobrn wagon on track hoppers</t>
        </is>
      </c>
      <c r="K72" t="inlineStr">
        <is>
          <t>Loading / handling / crushing</t>
        </is>
      </c>
      <c r="L72" t="inlineStr">
        <is>
          <t>National Aluminium Company Limited</t>
        </is>
      </c>
      <c r="M72" t="inlineStr">
        <is>
          <t>Orissa</t>
        </is>
      </c>
      <c r="N72" t="inlineStr">
        <is>
          <t>Angul</t>
        </is>
      </c>
      <c r="O72" s="5" t="n">
        <v>45890</v>
      </c>
      <c r="P72" t="inlineStr">
        <is>
          <t>AOC</t>
        </is>
      </c>
      <c r="Q72" t="inlineStr">
        <is>
          <t xml:space="preserve">M/S Govinda Enterprises </t>
        </is>
      </c>
      <c r="R72" t="inlineStr"/>
      <c r="S72" t="inlineStr">
        <is>
          <t>5 named / 7</t>
        </is>
      </c>
      <c r="T72" t="n">
        <v>0.95</v>
      </c>
      <c r="U72" s="6">
        <f>IF(ISNUMBER(G72),MAX(MAX(G72,Settings!$B$13)*Settings!$B$7*Settings!$B$5,IF(ISNUMBER(Settings!$B$12),Settings!$B$12,0))*(1+IF(Settings!$B$11="Y",0,Settings!$B$10/100))+N(Settings!$B$9),"")</f>
        <v/>
      </c>
      <c r="W72" s="6">
        <f>IF(ISNUMBER(V72),IF(V72*Settings!$B$8&gt;1000,"beyond table",IFERROR(LOOKUP(V72*Settings!$B$8,'FOIS 145A'!$A$2:$A$22,'FOIS 145A'!$C$2:$C$22)*(1+IF(Settings!$B$11="Y",0,Settings!$B$10/100)),"")),"")</f>
        <v/>
      </c>
      <c r="X72" s="6">
        <f>IF(AND(ISNUMBER(U72),ISNUMBER(W72)),U72+W72,"")</f>
        <v/>
      </c>
      <c r="Y72">
        <f>Settings!$B$6</f>
        <v/>
      </c>
    </row>
    <row r="73">
      <c r="A73" t="inlineStr">
        <is>
          <t>Unknown</t>
        </is>
      </c>
      <c r="B73" t="inlineStr">
        <is>
          <t>no location in title</t>
        </is>
      </c>
      <c r="C73" t="inlineStr"/>
      <c r="E73" t="inlineStr"/>
      <c r="H73" t="inlineStr">
        <is>
          <t>18325913</t>
        </is>
      </c>
      <c r="I73" t="inlineStr">
        <is>
          <t>GEM/2026/B/7928927</t>
        </is>
      </c>
      <c r="J73" t="inlineStr">
        <is>
          <t>supply of - steam coal (q3) -  | quantity - 11500</t>
        </is>
      </c>
      <c r="K73" t="inlineStr">
        <is>
          <t>Coal supply</t>
        </is>
      </c>
      <c r="L73" t="inlineStr">
        <is>
          <t>Indian Rare Earths Limited</t>
        </is>
      </c>
      <c r="M73" t="inlineStr">
        <is>
          <t>Orissa</t>
        </is>
      </c>
      <c r="N73" t="inlineStr">
        <is>
          <t>Ganjam</t>
        </is>
      </c>
      <c r="O73" s="5" t="n">
        <v>46277</v>
      </c>
      <c r="P73" t="inlineStr">
        <is>
          <t>Financial</t>
        </is>
      </c>
      <c r="Q73" t="inlineStr">
        <is>
          <t>-</t>
        </is>
      </c>
      <c r="R73" t="inlineStr">
        <is>
          <t>Godavari Commodities, Mohit Minerals</t>
        </is>
      </c>
      <c r="S73" t="inlineStr">
        <is>
          <t>5 named / 6</t>
        </is>
      </c>
      <c r="U73" s="6">
        <f>IF(ISNUMBER(G73),MAX(MAX(G73,Settings!$B$13)*Settings!$B$7*Settings!$B$5,IF(ISNUMBER(Settings!$B$12),Settings!$B$12,0))*(1+IF(Settings!$B$11="Y",0,Settings!$B$10/100))+N(Settings!$B$9),"")</f>
        <v/>
      </c>
      <c r="W73" s="6">
        <f>IF(ISNUMBER(V73),IF(V73*Settings!$B$8&gt;1000,"beyond table",IFERROR(LOOKUP(V73*Settings!$B$8,'FOIS 145A'!$A$2:$A$22,'FOIS 145A'!$C$2:$C$22)*(1+IF(Settings!$B$11="Y",0,Settings!$B$10/100)),"")),"")</f>
        <v/>
      </c>
      <c r="X73" s="6">
        <f>IF(AND(ISNUMBER(U73),ISNUMBER(W73)),U73+W73,"")</f>
        <v/>
      </c>
      <c r="Y73">
        <f>Settings!$B$6</f>
        <v/>
      </c>
    </row>
    <row r="74">
      <c r="A74" t="inlineStr">
        <is>
          <t>Unknown</t>
        </is>
      </c>
      <c r="B74" t="inlineStr">
        <is>
          <t>no location in title</t>
        </is>
      </c>
      <c r="C74" t="inlineStr"/>
      <c r="E74" t="inlineStr"/>
      <c r="H74" t="inlineStr">
        <is>
          <t>17284876</t>
        </is>
      </c>
      <c r="I74" t="inlineStr">
        <is>
          <t>GEM/2026/B/7416658</t>
        </is>
      </c>
      <c r="J74" t="inlineStr">
        <is>
          <t>supply of - steam coal (q3) -  | quantity - 11500</t>
        </is>
      </c>
      <c r="K74" t="inlineStr">
        <is>
          <t>Coal supply</t>
        </is>
      </c>
      <c r="L74" t="inlineStr">
        <is>
          <t>Indian Rare Earths Limited</t>
        </is>
      </c>
      <c r="M74" t="inlineStr">
        <is>
          <t>Orissa</t>
        </is>
      </c>
      <c r="N74" t="inlineStr">
        <is>
          <t>Ganjam</t>
        </is>
      </c>
      <c r="O74" s="5" t="n">
        <v>46142</v>
      </c>
      <c r="P74" t="inlineStr">
        <is>
          <t>Financial</t>
        </is>
      </c>
      <c r="Q74" t="inlineStr">
        <is>
          <t>-</t>
        </is>
      </c>
      <c r="R74" t="inlineStr">
        <is>
          <t>Godavari Commodities</t>
        </is>
      </c>
      <c r="S74" t="inlineStr">
        <is>
          <t>5 named / 9</t>
        </is>
      </c>
      <c r="U74" s="6">
        <f>IF(ISNUMBER(G74),MAX(MAX(G74,Settings!$B$13)*Settings!$B$7*Settings!$B$5,IF(ISNUMBER(Settings!$B$12),Settings!$B$12,0))*(1+IF(Settings!$B$11="Y",0,Settings!$B$10/100))+N(Settings!$B$9),"")</f>
        <v/>
      </c>
      <c r="W74" s="6">
        <f>IF(ISNUMBER(V74),IF(V74*Settings!$B$8&gt;1000,"beyond table",IFERROR(LOOKUP(V74*Settings!$B$8,'FOIS 145A'!$A$2:$A$22,'FOIS 145A'!$C$2:$C$22)*(1+IF(Settings!$B$11="Y",0,Settings!$B$10/100)),"")),"")</f>
        <v/>
      </c>
      <c r="X74" s="6">
        <f>IF(AND(ISNUMBER(U74),ISNUMBER(W74)),U74+W74,"")</f>
        <v/>
      </c>
      <c r="Y74">
        <f>Settings!$B$6</f>
        <v/>
      </c>
    </row>
    <row r="75">
      <c r="A75" t="inlineStr">
        <is>
          <t>Unknown</t>
        </is>
      </c>
      <c r="B75" t="inlineStr">
        <is>
          <t>no location in title</t>
        </is>
      </c>
      <c r="C75" t="inlineStr"/>
      <c r="E75" t="inlineStr"/>
      <c r="H75" t="inlineStr">
        <is>
          <t>16020026</t>
        </is>
      </c>
      <c r="I75" t="inlineStr">
        <is>
          <t>GEM/2025/B/6868675</t>
        </is>
      </c>
      <c r="J75" t="inlineStr">
        <is>
          <t>supply of - steam coal (q3) -  | quantity - 11500</t>
        </is>
      </c>
      <c r="K75" t="inlineStr">
        <is>
          <t>Coal supply</t>
        </is>
      </c>
      <c r="L75" t="inlineStr">
        <is>
          <t>Indian Rare Earths Limited</t>
        </is>
      </c>
      <c r="M75" t="inlineStr">
        <is>
          <t>Orissa</t>
        </is>
      </c>
      <c r="N75" t="inlineStr">
        <is>
          <t>Ganjam</t>
        </is>
      </c>
      <c r="O75" s="5" t="n">
        <v>45994</v>
      </c>
      <c r="P75" t="inlineStr">
        <is>
          <t>Financial</t>
        </is>
      </c>
      <c r="Q75" t="inlineStr">
        <is>
          <t>-</t>
        </is>
      </c>
      <c r="R75" t="inlineStr">
        <is>
          <t>Godavari Commodities</t>
        </is>
      </c>
      <c r="S75" t="inlineStr">
        <is>
          <t>5 named / 9</t>
        </is>
      </c>
      <c r="U75" s="6">
        <f>IF(ISNUMBER(G75),MAX(MAX(G75,Settings!$B$13)*Settings!$B$7*Settings!$B$5,IF(ISNUMBER(Settings!$B$12),Settings!$B$12,0))*(1+IF(Settings!$B$11="Y",0,Settings!$B$10/100))+N(Settings!$B$9),"")</f>
        <v/>
      </c>
      <c r="W75" s="6">
        <f>IF(ISNUMBER(V75),IF(V75*Settings!$B$8&gt;1000,"beyond table",IFERROR(LOOKUP(V75*Settings!$B$8,'FOIS 145A'!$A$2:$A$22,'FOIS 145A'!$C$2:$C$22)*(1+IF(Settings!$B$11="Y",0,Settings!$B$10/100)),"")),"")</f>
        <v/>
      </c>
      <c r="X75" s="6">
        <f>IF(AND(ISNUMBER(U75),ISNUMBER(W75)),U75+W75,"")</f>
        <v/>
      </c>
      <c r="Y75">
        <f>Settings!$B$6</f>
        <v/>
      </c>
    </row>
    <row r="76">
      <c r="A76" t="inlineStr">
        <is>
          <t>Unknown</t>
        </is>
      </c>
      <c r="B76" t="inlineStr">
        <is>
          <t>no location in title</t>
        </is>
      </c>
      <c r="C76" t="inlineStr"/>
      <c r="E76" t="inlineStr"/>
      <c r="H76" t="inlineStr">
        <is>
          <t>15112753</t>
        </is>
      </c>
      <c r="I76" t="inlineStr">
        <is>
          <t>GEM/2025/B/6540145</t>
        </is>
      </c>
      <c r="J76" t="inlineStr">
        <is>
          <t>supply of - steam coal (q3) | quantity - 11500</t>
        </is>
      </c>
      <c r="K76" t="inlineStr">
        <is>
          <t>Coal supply</t>
        </is>
      </c>
      <c r="L76" t="inlineStr">
        <is>
          <t>Indian Rare Earths Limited</t>
        </is>
      </c>
      <c r="M76" t="inlineStr">
        <is>
          <t>Orissa</t>
        </is>
      </c>
      <c r="N76" t="inlineStr">
        <is>
          <t>Ganjam</t>
        </is>
      </c>
      <c r="O76" s="5" t="n">
        <v>45897</v>
      </c>
      <c r="P76" t="inlineStr">
        <is>
          <t>Financial</t>
        </is>
      </c>
      <c r="Q76" t="inlineStr">
        <is>
          <t>-</t>
        </is>
      </c>
      <c r="R76" t="inlineStr">
        <is>
          <t>Godavari Commodities</t>
        </is>
      </c>
      <c r="S76" t="inlineStr">
        <is>
          <t>5 named / 8</t>
        </is>
      </c>
      <c r="U76" s="6">
        <f>IF(ISNUMBER(G76),MAX(MAX(G76,Settings!$B$13)*Settings!$B$7*Settings!$B$5,IF(ISNUMBER(Settings!$B$12),Settings!$B$12,0))*(1+IF(Settings!$B$11="Y",0,Settings!$B$10/100))+N(Settings!$B$9),"")</f>
        <v/>
      </c>
      <c r="W76" s="6">
        <f>IF(ISNUMBER(V76),IF(V76*Settings!$B$8&gt;1000,"beyond table",IFERROR(LOOKUP(V76*Settings!$B$8,'FOIS 145A'!$A$2:$A$22,'FOIS 145A'!$C$2:$C$22)*(1+IF(Settings!$B$11="Y",0,Settings!$B$10/100)),"")),"")</f>
        <v/>
      </c>
      <c r="X76" s="6">
        <f>IF(AND(ISNUMBER(U76),ISNUMBER(W76)),U76+W76,"")</f>
        <v/>
      </c>
      <c r="Y76">
        <f>Settings!$B$6</f>
        <v/>
      </c>
    </row>
    <row r="77">
      <c r="A77" t="inlineStr">
        <is>
          <t>Unknown</t>
        </is>
      </c>
      <c r="B77" t="inlineStr">
        <is>
          <t>no location in title</t>
        </is>
      </c>
      <c r="C77" t="inlineStr"/>
      <c r="E77" t="inlineStr"/>
      <c r="H77" t="inlineStr">
        <is>
          <t>14401813</t>
        </is>
      </c>
      <c r="I77" t="inlineStr">
        <is>
          <t>2025_OMFED_114495_1</t>
        </is>
      </c>
      <c r="J77" t="inlineStr">
        <is>
          <t>supply of coal (g-12)</t>
        </is>
      </c>
      <c r="K77" t="inlineStr">
        <is>
          <t>Coal supply</t>
        </is>
      </c>
      <c r="L77" t="inlineStr">
        <is>
          <t>Orissa State Co-Operative Milk Producers Federation Limited</t>
        </is>
      </c>
      <c r="M77" t="inlineStr">
        <is>
          <t>Orissa</t>
        </is>
      </c>
      <c r="N77" t="inlineStr">
        <is>
          <t>Keonjhar</t>
        </is>
      </c>
      <c r="O77" s="5" t="n">
        <v>45845</v>
      </c>
      <c r="P77" t="inlineStr">
        <is>
          <t>AOC</t>
        </is>
      </c>
      <c r="Q77" t="inlineStr">
        <is>
          <t>M/S Sanjukta Mohanty</t>
        </is>
      </c>
      <c r="R77" t="inlineStr">
        <is>
          <t>Godavari Commodities</t>
        </is>
      </c>
      <c r="S77" t="inlineStr">
        <is>
          <t>3 named / 3</t>
        </is>
      </c>
      <c r="T77" t="n">
        <v>0</v>
      </c>
      <c r="U77" s="6">
        <f>IF(ISNUMBER(G77),MAX(MAX(G77,Settings!$B$13)*Settings!$B$7*Settings!$B$5,IF(ISNUMBER(Settings!$B$12),Settings!$B$12,0))*(1+IF(Settings!$B$11="Y",0,Settings!$B$10/100))+N(Settings!$B$9),"")</f>
        <v/>
      </c>
      <c r="W77" s="6">
        <f>IF(ISNUMBER(V77),IF(V77*Settings!$B$8&gt;1000,"beyond table",IFERROR(LOOKUP(V77*Settings!$B$8,'FOIS 145A'!$A$2:$A$22,'FOIS 145A'!$C$2:$C$22)*(1+IF(Settings!$B$11="Y",0,Settings!$B$10/100)),"")),"")</f>
        <v/>
      </c>
      <c r="X77" s="6">
        <f>IF(AND(ISNUMBER(U77),ISNUMBER(W77)),U77+W77,"")</f>
        <v/>
      </c>
      <c r="Y77">
        <f>Settings!$B$6</f>
        <v/>
      </c>
    </row>
    <row r="78">
      <c r="A78" t="inlineStr">
        <is>
          <t>Unknown</t>
        </is>
      </c>
      <c r="B78" t="inlineStr">
        <is>
          <t>no location in title</t>
        </is>
      </c>
      <c r="C78" t="inlineStr"/>
      <c r="E78" t="inlineStr"/>
      <c r="H78" t="inlineStr">
        <is>
          <t>12546101</t>
        </is>
      </c>
      <c r="I78" t="inlineStr">
        <is>
          <t>GEM/2025/B/5798333</t>
        </is>
      </c>
      <c r="J78" t="inlineStr">
        <is>
          <t>steam coal,steam coal</t>
        </is>
      </c>
      <c r="K78" t="inlineStr">
        <is>
          <t>Coal supply</t>
        </is>
      </c>
      <c r="L78" t="inlineStr">
        <is>
          <t>Indian Rare Earths Limited</t>
        </is>
      </c>
      <c r="M78" t="inlineStr">
        <is>
          <t>Orissa</t>
        </is>
      </c>
      <c r="N78" t="inlineStr">
        <is>
          <t>Ganjam</t>
        </is>
      </c>
      <c r="O78" s="5" t="n">
        <v>45688</v>
      </c>
      <c r="P78" t="inlineStr">
        <is>
          <t>Financial</t>
        </is>
      </c>
      <c r="Q78" t="inlineStr">
        <is>
          <t>-</t>
        </is>
      </c>
      <c r="R78" t="inlineStr">
        <is>
          <t>Godavari Commodities, Sangita Sales</t>
        </is>
      </c>
      <c r="S78" t="inlineStr">
        <is>
          <t>5 named / 7</t>
        </is>
      </c>
      <c r="U78" s="6">
        <f>IF(ISNUMBER(G78),MAX(MAX(G78,Settings!$B$13)*Settings!$B$7*Settings!$B$5,IF(ISNUMBER(Settings!$B$12),Settings!$B$12,0))*(1+IF(Settings!$B$11="Y",0,Settings!$B$10/100))+N(Settings!$B$9),"")</f>
        <v/>
      </c>
      <c r="W78" s="6">
        <f>IF(ISNUMBER(V78),IF(V78*Settings!$B$8&gt;1000,"beyond table",IFERROR(LOOKUP(V78*Settings!$B$8,'FOIS 145A'!$A$2:$A$22,'FOIS 145A'!$C$2:$C$22)*(1+IF(Settings!$B$11="Y",0,Settings!$B$10/100)),"")),"")</f>
        <v/>
      </c>
      <c r="X78" s="6">
        <f>IF(AND(ISNUMBER(U78),ISNUMBER(W78)),U78+W78,"")</f>
        <v/>
      </c>
      <c r="Y78">
        <f>Settings!$B$6</f>
        <v/>
      </c>
    </row>
    <row r="79">
      <c r="A79" t="inlineStr">
        <is>
          <t>Unknown</t>
        </is>
      </c>
      <c r="B79" t="inlineStr">
        <is>
          <t>no location in title</t>
        </is>
      </c>
      <c r="C79" t="inlineStr"/>
      <c r="E79" t="inlineStr"/>
      <c r="H79" t="inlineStr">
        <is>
          <t>18306348</t>
        </is>
      </c>
      <c r="I79" t="inlineStr">
        <is>
          <t>2026_NTPC_112044_1</t>
        </is>
      </c>
      <c r="J79" t="inlineStr">
        <is>
          <t>transportation of 200000 mt of coal from mcl mines (int. lbl) to ntpc - transportation of 200000 mt of coal from mcl mines (int. lbl) to ntpcsolapur via rcr mode</t>
        </is>
      </c>
      <c r="K79" t="inlineStr">
        <is>
          <t>Coal transport (RCR / siding)</t>
        </is>
      </c>
      <c r="L79" t="inlineStr">
        <is>
          <t>National Thermal Power Corporation Limited</t>
        </is>
      </c>
      <c r="M79" t="inlineStr">
        <is>
          <t>Chhattisgarh</t>
        </is>
      </c>
      <c r="N79" t="inlineStr">
        <is>
          <t>Raipur</t>
        </is>
      </c>
      <c r="O79" s="5" t="n">
        <v>46290</v>
      </c>
      <c r="P79" t="inlineStr">
        <is>
          <t>AOC</t>
        </is>
      </c>
      <c r="Q79" t="inlineStr">
        <is>
          <t>Bharat Road Carrier Private Limited</t>
        </is>
      </c>
      <c r="R79" t="inlineStr">
        <is>
          <t>Anoop Road Carriers, Bharat Road Carrier, Sangita Sales, Swami Fuels</t>
        </is>
      </c>
      <c r="S79" t="inlineStr">
        <is>
          <t>5 named / 6</t>
        </is>
      </c>
      <c r="T79" t="n">
        <v>7.84</v>
      </c>
      <c r="U79" s="6">
        <f>IF(ISNUMBER(G79),MAX(MAX(G79,Settings!$B$13)*Settings!$B$7*Settings!$B$5,IF(ISNUMBER(Settings!$B$12),Settings!$B$12,0))*(1+IF(Settings!$B$11="Y",0,Settings!$B$10/100))+N(Settings!$B$9),"")</f>
        <v/>
      </c>
      <c r="W79" s="6">
        <f>IF(ISNUMBER(V79),IF(V79*Settings!$B$8&gt;1000,"beyond table",IFERROR(LOOKUP(V79*Settings!$B$8,'FOIS 145A'!$A$2:$A$22,'FOIS 145A'!$C$2:$C$22)*(1+IF(Settings!$B$11="Y",0,Settings!$B$10/100)),"")),"")</f>
        <v/>
      </c>
      <c r="X79" s="6">
        <f>IF(AND(ISNUMBER(U79),ISNUMBER(W79)),U79+W79,"")</f>
        <v/>
      </c>
      <c r="Y79">
        <f>Settings!$B$6</f>
        <v/>
      </c>
    </row>
    <row r="80">
      <c r="A80" t="inlineStr">
        <is>
          <t>Unknown</t>
        </is>
      </c>
      <c r="B80" t="inlineStr">
        <is>
          <t>no location in title</t>
        </is>
      </c>
      <c r="C80" t="inlineStr"/>
      <c r="E80" t="inlineStr"/>
      <c r="H80" t="inlineStr">
        <is>
          <t>18308880</t>
        </is>
      </c>
      <c r="I80" t="inlineStr">
        <is>
          <t>2026_NTPC_112039_1</t>
        </is>
      </c>
      <c r="J80" t="inlineStr">
        <is>
          <t>loading and transportation of 1,93,000 mt coal through rcr mode from - loading and transportation of 1,93,000 mt coal through rcr mode fromccl-chandragupta mines to nearby siding</t>
        </is>
      </c>
      <c r="K80" t="inlineStr">
        <is>
          <t>Coal transport (RCR / siding)</t>
        </is>
      </c>
      <c r="L80" t="inlineStr">
        <is>
          <t>National Thermal Power Corporation Limited</t>
        </is>
      </c>
      <c r="M80" t="inlineStr">
        <is>
          <t>Chhattisgarh</t>
        </is>
      </c>
      <c r="N80" t="inlineStr">
        <is>
          <t>Raipur</t>
        </is>
      </c>
      <c r="O80" s="5" t="n">
        <v>46289</v>
      </c>
      <c r="P80" t="inlineStr">
        <is>
          <t>AOC</t>
        </is>
      </c>
      <c r="Q80" t="inlineStr">
        <is>
          <t>Sarneshwar Transport And Construction Private Limited</t>
        </is>
      </c>
      <c r="R80" t="inlineStr">
        <is>
          <t>Bharat Road Carrier, Godavari Commodities, Nkas Services, Sangita Sales</t>
        </is>
      </c>
      <c r="S80" t="inlineStr">
        <is>
          <t>5 named / 9</t>
        </is>
      </c>
      <c r="T80" t="n">
        <v>9.26</v>
      </c>
      <c r="U80" s="6">
        <f>IF(ISNUMBER(G80),MAX(MAX(G80,Settings!$B$13)*Settings!$B$7*Settings!$B$5,IF(ISNUMBER(Settings!$B$12),Settings!$B$12,0))*(1+IF(Settings!$B$11="Y",0,Settings!$B$10/100))+N(Settings!$B$9),"")</f>
        <v/>
      </c>
      <c r="W80" s="6">
        <f>IF(ISNUMBER(V80),IF(V80*Settings!$B$8&gt;1000,"beyond table",IFERROR(LOOKUP(V80*Settings!$B$8,'FOIS 145A'!$A$2:$A$22,'FOIS 145A'!$C$2:$C$22)*(1+IF(Settings!$B$11="Y",0,Settings!$B$10/100)),"")),"")</f>
        <v/>
      </c>
      <c r="X80" s="6">
        <f>IF(AND(ISNUMBER(U80),ISNUMBER(W80)),U80+W80,"")</f>
        <v/>
      </c>
      <c r="Y80">
        <f>Settings!$B$6</f>
        <v/>
      </c>
    </row>
    <row r="81">
      <c r="A81" t="inlineStr">
        <is>
          <t>No</t>
        </is>
      </c>
      <c r="B81" t="inlineStr">
        <is>
          <t>mine named in title; plant/siding named in title</t>
        </is>
      </c>
      <c r="C81" t="inlineStr">
        <is>
          <t>Talcher / Angul</t>
        </is>
      </c>
      <c r="D81" t="n">
        <v>217</v>
      </c>
      <c r="E81" t="inlineStr">
        <is>
          <t>Talcher / Angul</t>
        </is>
      </c>
      <c r="F81" t="n">
        <v>217</v>
      </c>
      <c r="G81" t="n">
        <v>217</v>
      </c>
      <c r="H81" t="inlineStr">
        <is>
          <t>18294456</t>
        </is>
      </c>
      <c r="I81" t="inlineStr">
        <is>
          <t>2026_NTPC_111977_1</t>
        </is>
      </c>
      <c r="J81" t="inlineStr">
        <is>
          <t>transportation of 200000 mt coal from mcl talcher area mines to ntpc - transportation of 200000 mt coal from mcl talcher area mines to ntpcsimhadri super thermal power station under rcr mode</t>
        </is>
      </c>
      <c r="K81" t="inlineStr">
        <is>
          <t>Coal transport (RCR / siding)</t>
        </is>
      </c>
      <c r="L81" t="inlineStr">
        <is>
          <t>National Thermal Power Corporation Limited</t>
        </is>
      </c>
      <c r="M81" t="inlineStr">
        <is>
          <t>Chhattisgarh</t>
        </is>
      </c>
      <c r="N81" t="inlineStr">
        <is>
          <t>Raipur</t>
        </is>
      </c>
      <c r="O81" s="5" t="n">
        <v>46288</v>
      </c>
      <c r="P81" t="inlineStr">
        <is>
          <t>AOC</t>
        </is>
      </c>
      <c r="Q81" t="inlineStr">
        <is>
          <t>Bharat Road Carrier Private Limited</t>
        </is>
      </c>
      <c r="R81" t="inlineStr">
        <is>
          <t>Bharat Road Carrier, Sendoz Impex</t>
        </is>
      </c>
      <c r="S81" t="inlineStr">
        <is>
          <t>3 named / 3</t>
        </is>
      </c>
      <c r="T81" t="n">
        <v>8.199999999999999</v>
      </c>
      <c r="U81" s="6">
        <f>IF(ISNUMBER(G81),MAX(MAX(G81,Settings!$B$13)*Settings!$B$7*Settings!$B$5,IF(ISNUMBER(Settings!$B$12),Settings!$B$12,0))*(1+IF(Settings!$B$11="Y",0,Settings!$B$10/100))+N(Settings!$B$9),"")</f>
        <v/>
      </c>
      <c r="W81" s="6">
        <f>IF(ISNUMBER(V81),IF(V81*Settings!$B$8&gt;1000,"beyond table",IFERROR(LOOKUP(V81*Settings!$B$8,'FOIS 145A'!$A$2:$A$22,'FOIS 145A'!$C$2:$C$22)*(1+IF(Settings!$B$11="Y",0,Settings!$B$10/100)),"")),"")</f>
        <v/>
      </c>
      <c r="X81" s="6">
        <f>IF(AND(ISNUMBER(U81),ISNUMBER(W81)),U81+W81,"")</f>
        <v/>
      </c>
      <c r="Y81">
        <f>Settings!$B$6</f>
        <v/>
      </c>
    </row>
    <row r="82">
      <c r="A82" t="inlineStr">
        <is>
          <t>No</t>
        </is>
      </c>
      <c r="B82" t="inlineStr">
        <is>
          <t>mine named in title; plant/siding named in title</t>
        </is>
      </c>
      <c r="C82" t="inlineStr">
        <is>
          <t>Talcher / Angul</t>
        </is>
      </c>
      <c r="D82" t="n">
        <v>217</v>
      </c>
      <c r="E82" t="inlineStr">
        <is>
          <t>Talcher / Angul</t>
        </is>
      </c>
      <c r="F82" t="n">
        <v>217</v>
      </c>
      <c r="G82" t="n">
        <v>217</v>
      </c>
      <c r="H82" t="inlineStr">
        <is>
          <t>17750799</t>
        </is>
      </c>
      <c r="I82" t="inlineStr">
        <is>
          <t>GEM/2026/B/7536884</t>
        </is>
      </c>
      <c r="J82" t="inlineStr">
        <is>
          <t>transportation of coal from coal mines in talcher area to nalco, damanjodi (nlod) alumina plant through road cum rail (rcr) mode</t>
        </is>
      </c>
      <c r="K82" t="inlineStr">
        <is>
          <t>Coal transport (RCR / siding)</t>
        </is>
      </c>
      <c r="L82" t="inlineStr">
        <is>
          <t>National Aluminium Company Limited</t>
        </is>
      </c>
      <c r="M82" t="inlineStr">
        <is>
          <t>Orissa</t>
        </is>
      </c>
      <c r="N82" t="inlineStr">
        <is>
          <t>Koraput</t>
        </is>
      </c>
      <c r="O82" s="5" t="n">
        <v>46184</v>
      </c>
      <c r="P82" t="inlineStr">
        <is>
          <t>AOC</t>
        </is>
      </c>
      <c r="Q82" t="inlineStr">
        <is>
          <t>Godavari Commodities Limited</t>
        </is>
      </c>
      <c r="R82" t="inlineStr">
        <is>
          <t>Godavari Commodities, Nkas Services</t>
        </is>
      </c>
      <c r="S82" t="inlineStr">
        <is>
          <t>5 named / 10</t>
        </is>
      </c>
      <c r="T82" t="n">
        <v>6.67</v>
      </c>
      <c r="U82" s="6">
        <f>IF(ISNUMBER(G82),MAX(MAX(G82,Settings!$B$13)*Settings!$B$7*Settings!$B$5,IF(ISNUMBER(Settings!$B$12),Settings!$B$12,0))*(1+IF(Settings!$B$11="Y",0,Settings!$B$10/100))+N(Settings!$B$9),"")</f>
        <v/>
      </c>
      <c r="W82" s="6">
        <f>IF(ISNUMBER(V82),IF(V82*Settings!$B$8&gt;1000,"beyond table",IFERROR(LOOKUP(V82*Settings!$B$8,'FOIS 145A'!$A$2:$A$22,'FOIS 145A'!$C$2:$C$22)*(1+IF(Settings!$B$11="Y",0,Settings!$B$10/100)),"")),"")</f>
        <v/>
      </c>
      <c r="X82" s="6">
        <f>IF(AND(ISNUMBER(U82),ISNUMBER(W82)),U82+W82,"")</f>
        <v/>
      </c>
      <c r="Y82">
        <f>Settings!$B$6</f>
        <v/>
      </c>
    </row>
    <row r="83">
      <c r="A83" t="inlineStr">
        <is>
          <t>No</t>
        </is>
      </c>
      <c r="B83" t="inlineStr">
        <is>
          <t>plant/siding named in title</t>
        </is>
      </c>
      <c r="C83" t="inlineStr"/>
      <c r="E83" t="inlineStr">
        <is>
          <t>Talcher / Angul</t>
        </is>
      </c>
      <c r="F83" t="n">
        <v>217</v>
      </c>
      <c r="G83" t="n">
        <v>217</v>
      </c>
      <c r="H83" t="inlineStr">
        <is>
          <t>17000112</t>
        </is>
      </c>
      <c r="I83" t="inlineStr">
        <is>
          <t>GEM/2026/B/7393495</t>
        </is>
      </c>
      <c r="J83" t="inlineStr">
        <is>
          <t>2 lmt coal transportation from coal mines to alumina refinery plant, nalco, damanjodi, through road cum rail (rcr) mode</t>
        </is>
      </c>
      <c r="K83" t="inlineStr">
        <is>
          <t>Coal transport (RCR / siding)</t>
        </is>
      </c>
      <c r="L83" t="inlineStr">
        <is>
          <t>National Aluminium Company Limited</t>
        </is>
      </c>
      <c r="M83" t="inlineStr">
        <is>
          <t>Orissa</t>
        </is>
      </c>
      <c r="N83" t="inlineStr">
        <is>
          <t>Koraput</t>
        </is>
      </c>
      <c r="O83" s="5" t="n">
        <v>46122</v>
      </c>
      <c r="P83" t="inlineStr">
        <is>
          <t>AOC</t>
        </is>
      </c>
      <c r="Q83" t="inlineStr">
        <is>
          <t>Pragati Indian Road Lines</t>
        </is>
      </c>
      <c r="R83" t="inlineStr">
        <is>
          <t>Anoop Road Carriers, Sendoz Impex</t>
        </is>
      </c>
      <c r="S83" t="inlineStr">
        <is>
          <t>5 named / 6</t>
        </is>
      </c>
      <c r="T83" t="n">
        <v>2.44</v>
      </c>
      <c r="U83" s="6">
        <f>IF(ISNUMBER(G83),MAX(MAX(G83,Settings!$B$13)*Settings!$B$7*Settings!$B$5,IF(ISNUMBER(Settings!$B$12),Settings!$B$12,0))*(1+IF(Settings!$B$11="Y",0,Settings!$B$10/100))+N(Settings!$B$9),"")</f>
        <v/>
      </c>
      <c r="W83" s="6">
        <f>IF(ISNUMBER(V83),IF(V83*Settings!$B$8&gt;1000,"beyond table",IFERROR(LOOKUP(V83*Settings!$B$8,'FOIS 145A'!$A$2:$A$22,'FOIS 145A'!$C$2:$C$22)*(1+IF(Settings!$B$11="Y",0,Settings!$B$10/100)),"")),"")</f>
        <v/>
      </c>
      <c r="X83" s="6">
        <f>IF(AND(ISNUMBER(U83),ISNUMBER(W83)),U83+W83,"")</f>
        <v/>
      </c>
      <c r="Y83">
        <f>Settings!$B$6</f>
        <v/>
      </c>
    </row>
    <row r="84">
      <c r="A84" t="inlineStr">
        <is>
          <t>No</t>
        </is>
      </c>
      <c r="B84" t="inlineStr">
        <is>
          <t>mine named in title; plant/siding named in title</t>
        </is>
      </c>
      <c r="C84" t="inlineStr">
        <is>
          <t>Talcher / Angul</t>
        </is>
      </c>
      <c r="D84" t="n">
        <v>217</v>
      </c>
      <c r="E84" t="inlineStr">
        <is>
          <t>Talcher / Angul</t>
        </is>
      </c>
      <c r="F84" t="n">
        <v>217</v>
      </c>
      <c r="G84" t="n">
        <v>217</v>
      </c>
      <c r="H84" t="inlineStr">
        <is>
          <t>13711181</t>
        </is>
      </c>
      <c r="I84" t="inlineStr">
        <is>
          <t>GEM/2025/B/6166025</t>
        </is>
      </c>
      <c r="J84" t="inlineStr">
        <is>
          <t>transportation of coal by road from mcl, talcher coalfield to cpp, nalco, angul including handling of coal and other related services</t>
        </is>
      </c>
      <c r="K84" t="inlineStr">
        <is>
          <t>Coal transport (road)</t>
        </is>
      </c>
      <c r="L84" t="inlineStr">
        <is>
          <t>National Aluminium Company Limited</t>
        </is>
      </c>
      <c r="M84" t="inlineStr">
        <is>
          <t>Orissa</t>
        </is>
      </c>
      <c r="N84" t="inlineStr">
        <is>
          <t>Angul</t>
        </is>
      </c>
      <c r="O84" s="5" t="n">
        <v>45803</v>
      </c>
      <c r="P84" t="inlineStr">
        <is>
          <t>AOC</t>
        </is>
      </c>
      <c r="Q84" t="inlineStr">
        <is>
          <t>Mukesh And Yogesh Roadlines</t>
        </is>
      </c>
      <c r="R84" t="inlineStr"/>
      <c r="S84" t="inlineStr">
        <is>
          <t>5 named / 10</t>
        </is>
      </c>
      <c r="T84" t="n">
        <v>30.4</v>
      </c>
      <c r="U84" s="6">
        <f>IF(ISNUMBER(G84),MAX(MAX(G84,Settings!$B$13)*Settings!$B$7*Settings!$B$5,IF(ISNUMBER(Settings!$B$12),Settings!$B$12,0))*(1+IF(Settings!$B$11="Y",0,Settings!$B$10/100))+N(Settings!$B$9),"")</f>
        <v/>
      </c>
      <c r="W84" s="6">
        <f>IF(ISNUMBER(V84),IF(V84*Settings!$B$8&gt;1000,"beyond table",IFERROR(LOOKUP(V84*Settings!$B$8,'FOIS 145A'!$A$2:$A$22,'FOIS 145A'!$C$2:$C$22)*(1+IF(Settings!$B$11="Y",0,Settings!$B$10/100)),"")),"")</f>
        <v/>
      </c>
      <c r="X84" s="6">
        <f>IF(AND(ISNUMBER(U84),ISNUMBER(W84)),U84+W84,"")</f>
        <v/>
      </c>
      <c r="Y84">
        <f>Settings!$B$6</f>
        <v/>
      </c>
    </row>
    <row r="85">
      <c r="A85" t="inlineStr">
        <is>
          <t>No</t>
        </is>
      </c>
      <c r="B85" t="inlineStr">
        <is>
          <t>mine = coal company's tender city; siding = same area</t>
        </is>
      </c>
      <c r="C85" t="inlineStr">
        <is>
          <t>Talcher / Angul (tender city)</t>
        </is>
      </c>
      <c r="D85" t="n">
        <v>217</v>
      </c>
      <c r="E85" t="inlineStr">
        <is>
          <t>Talcher / Angul (tender city)</t>
        </is>
      </c>
      <c r="F85" t="n">
        <v>217</v>
      </c>
      <c r="G85" t="n">
        <v>217</v>
      </c>
      <c r="H85" t="inlineStr">
        <is>
          <t>13504719</t>
        </is>
      </c>
      <c r="I85" t="inlineStr">
        <is>
          <t>GEM/2025/B/6131875</t>
        </is>
      </c>
      <c r="J85" t="inlineStr">
        <is>
          <t>loading and transportation</t>
        </is>
      </c>
      <c r="K85" t="inlineStr">
        <is>
          <t>Coal transport (road)</t>
        </is>
      </c>
      <c r="L85" t="inlineStr">
        <is>
          <t>Mahanadi Coalfields Limited</t>
        </is>
      </c>
      <c r="M85" t="inlineStr">
        <is>
          <t>Orissa</t>
        </is>
      </c>
      <c r="N85" t="inlineStr">
        <is>
          <t>Angul</t>
        </is>
      </c>
      <c r="O85" s="5" t="n">
        <v>45785</v>
      </c>
      <c r="P85" t="inlineStr">
        <is>
          <t>AOC</t>
        </is>
      </c>
      <c r="Q85" t="inlineStr">
        <is>
          <t>Hari Ram Godara</t>
        </is>
      </c>
      <c r="R85" t="inlineStr"/>
      <c r="S85" t="inlineStr">
        <is>
          <t>5 named / 13</t>
        </is>
      </c>
      <c r="T85" t="n">
        <v>472.31</v>
      </c>
      <c r="U85" s="6">
        <f>IF(ISNUMBER(G85),MAX(MAX(G85,Settings!$B$13)*Settings!$B$7*Settings!$B$5,IF(ISNUMBER(Settings!$B$12),Settings!$B$12,0))*(1+IF(Settings!$B$11="Y",0,Settings!$B$10/100))+N(Settings!$B$9),"")</f>
        <v/>
      </c>
      <c r="W85" s="6">
        <f>IF(ISNUMBER(V85),IF(V85*Settings!$B$8&gt;1000,"beyond table",IFERROR(LOOKUP(V85*Settings!$B$8,'FOIS 145A'!$A$2:$A$22,'FOIS 145A'!$C$2:$C$22)*(1+IF(Settings!$B$11="Y",0,Settings!$B$10/100)),"")),"")</f>
        <v/>
      </c>
      <c r="X85" s="6">
        <f>IF(AND(ISNUMBER(U85),ISNUMBER(W85)),U85+W85,"")</f>
        <v/>
      </c>
      <c r="Y85">
        <f>Settings!$B$6</f>
        <v/>
      </c>
    </row>
    <row r="86">
      <c r="A86" t="inlineStr">
        <is>
          <t>No</t>
        </is>
      </c>
      <c r="B86" t="inlineStr">
        <is>
          <t>mine = coal company's tender city; siding = same area</t>
        </is>
      </c>
      <c r="C86" t="inlineStr">
        <is>
          <t>Talcher / Angul (tender city)</t>
        </is>
      </c>
      <c r="D86" t="n">
        <v>217</v>
      </c>
      <c r="E86" t="inlineStr">
        <is>
          <t>Talcher / Angul (tender city)</t>
        </is>
      </c>
      <c r="F86" t="n">
        <v>217</v>
      </c>
      <c r="G86" t="n">
        <v>217</v>
      </c>
      <c r="H86" t="inlineStr">
        <is>
          <t>12563385</t>
        </is>
      </c>
      <c r="I86" t="inlineStr">
        <is>
          <t>GEM/2025/B/5825045</t>
        </is>
      </c>
      <c r="J86" t="inlineStr">
        <is>
          <t>loading and transportation</t>
        </is>
      </c>
      <c r="K86" t="inlineStr">
        <is>
          <t>Coal transport (road)</t>
        </is>
      </c>
      <c r="L86" t="inlineStr">
        <is>
          <t>Mahanadi Coalfields Limited</t>
        </is>
      </c>
      <c r="M86" t="inlineStr">
        <is>
          <t>Orissa</t>
        </is>
      </c>
      <c r="N86" t="inlineStr">
        <is>
          <t>Talcher</t>
        </is>
      </c>
      <c r="O86" s="5" t="n">
        <v>45691</v>
      </c>
      <c r="P86" t="inlineStr">
        <is>
          <t>AOC</t>
        </is>
      </c>
      <c r="Q86" t="inlineStr">
        <is>
          <t>Firstmove Logistics Private Limited</t>
        </is>
      </c>
      <c r="R86" t="inlineStr">
        <is>
          <t>Caliber Mining and Logistics</t>
        </is>
      </c>
      <c r="S86" t="inlineStr">
        <is>
          <t>5 named / 13</t>
        </is>
      </c>
      <c r="T86" t="n">
        <v>182.62</v>
      </c>
      <c r="U86" s="6">
        <f>IF(ISNUMBER(G86),MAX(MAX(G86,Settings!$B$13)*Settings!$B$7*Settings!$B$5,IF(ISNUMBER(Settings!$B$12),Settings!$B$12,0))*(1+IF(Settings!$B$11="Y",0,Settings!$B$10/100))+N(Settings!$B$9),"")</f>
        <v/>
      </c>
      <c r="W86" s="6">
        <f>IF(ISNUMBER(V86),IF(V86*Settings!$B$8&gt;1000,"beyond table",IFERROR(LOOKUP(V86*Settings!$B$8,'FOIS 145A'!$A$2:$A$22,'FOIS 145A'!$C$2:$C$22)*(1+IF(Settings!$B$11="Y",0,Settings!$B$10/100)),"")),"")</f>
        <v/>
      </c>
      <c r="X86" s="6">
        <f>IF(AND(ISNUMBER(U86),ISNUMBER(W86)),U86+W86,"")</f>
        <v/>
      </c>
      <c r="Y86">
        <f>Settings!$B$6</f>
        <v/>
      </c>
    </row>
    <row r="87">
      <c r="A87" t="inlineStr">
        <is>
          <t>No</t>
        </is>
      </c>
      <c r="B87" t="inlineStr">
        <is>
          <t>mine named in title; plant/siding named in title</t>
        </is>
      </c>
      <c r="C87" t="inlineStr">
        <is>
          <t>Talcher / Angul</t>
        </is>
      </c>
      <c r="D87" t="n">
        <v>217</v>
      </c>
      <c r="E87" t="inlineStr">
        <is>
          <t>Talcher / Angul</t>
        </is>
      </c>
      <c r="F87" t="n">
        <v>217</v>
      </c>
      <c r="G87" t="n">
        <v>217</v>
      </c>
      <c r="H87" t="inlineStr">
        <is>
          <t>12422007</t>
        </is>
      </c>
      <c r="I87" t="inlineStr">
        <is>
          <t>GEM/2024/B/5737749</t>
        </is>
      </c>
      <c r="J87" t="inlineStr">
        <is>
          <t>transportation of coal by road from mcl talcher coalfield to cpp nalco an</t>
        </is>
      </c>
      <c r="K87" t="inlineStr">
        <is>
          <t>Coal transport (road)</t>
        </is>
      </c>
      <c r="L87" t="inlineStr">
        <is>
          <t>National Aluminium Company Limited</t>
        </is>
      </c>
      <c r="M87" t="inlineStr">
        <is>
          <t>Orissa</t>
        </is>
      </c>
      <c r="N87" t="inlineStr">
        <is>
          <t>Angul</t>
        </is>
      </c>
      <c r="O87" s="5" t="n">
        <v>45671</v>
      </c>
      <c r="P87" t="inlineStr">
        <is>
          <t>AOC</t>
        </is>
      </c>
      <c r="Q87" t="inlineStr">
        <is>
          <t>Omm Shakti Traders</t>
        </is>
      </c>
      <c r="R87" t="inlineStr"/>
      <c r="S87" t="inlineStr">
        <is>
          <t>5 named / 11</t>
        </is>
      </c>
      <c r="T87" t="n">
        <v>8.07</v>
      </c>
      <c r="U87" s="6">
        <f>IF(ISNUMBER(G87),MAX(MAX(G87,Settings!$B$13)*Settings!$B$7*Settings!$B$5,IF(ISNUMBER(Settings!$B$12),Settings!$B$12,0))*(1+IF(Settings!$B$11="Y",0,Settings!$B$10/100))+N(Settings!$B$9),"")</f>
        <v/>
      </c>
      <c r="W87" s="6">
        <f>IF(ISNUMBER(V87),IF(V87*Settings!$B$8&gt;1000,"beyond table",IFERROR(LOOKUP(V87*Settings!$B$8,'FOIS 145A'!$A$2:$A$22,'FOIS 145A'!$C$2:$C$22)*(1+IF(Settings!$B$11="Y",0,Settings!$B$10/100)),"")),"")</f>
        <v/>
      </c>
      <c r="X87" s="6">
        <f>IF(AND(ISNUMBER(U87),ISNUMBER(W87)),U87+W87,"")</f>
        <v/>
      </c>
      <c r="Y87">
        <f>Settings!$B$6</f>
        <v/>
      </c>
    </row>
    <row r="88">
      <c r="A88" t="inlineStr">
        <is>
          <t>No</t>
        </is>
      </c>
      <c r="B88" t="inlineStr">
        <is>
          <t>plant/siding named in title</t>
        </is>
      </c>
      <c r="C88" t="inlineStr"/>
      <c r="E88" t="inlineStr">
        <is>
          <t>Talcher / Angul</t>
        </is>
      </c>
      <c r="F88" t="n">
        <v>217</v>
      </c>
      <c r="G88" t="n">
        <v>217</v>
      </c>
      <c r="H88" t="inlineStr">
        <is>
          <t>16901865</t>
        </is>
      </c>
      <c r="I88" t="inlineStr">
        <is>
          <t>GEM/2026/B/7249129</t>
        </is>
      </c>
      <c r="J88" t="inlineStr">
        <is>
          <t>loading supervision jobs of boiler coal supplies from coal companies, mcl, ecl and other cil subsidiaries to vsps , custom bid for services - minor repair of box wagons at mcl, talcher</t>
        </is>
      </c>
      <c r="K88" t="inlineStr">
        <is>
          <t>Loading / handling / crushing</t>
        </is>
      </c>
      <c r="L88" t="inlineStr">
        <is>
          <t>Rashtriya Ispat Nigam Limited</t>
        </is>
      </c>
      <c r="M88" t="inlineStr">
        <is>
          <t>Andhra Pradesh</t>
        </is>
      </c>
      <c r="N88" t="inlineStr">
        <is>
          <t>Visakhapatnam</t>
        </is>
      </c>
      <c r="O88" s="5" t="n">
        <v>46084</v>
      </c>
      <c r="P88" t="inlineStr">
        <is>
          <t>AOC</t>
        </is>
      </c>
      <c r="Q88" t="inlineStr">
        <is>
          <t>Ganga Logistics</t>
        </is>
      </c>
      <c r="R88" t="inlineStr">
        <is>
          <t>Godavari Commodities</t>
        </is>
      </c>
      <c r="S88" t="inlineStr">
        <is>
          <t>5 named / 7</t>
        </is>
      </c>
      <c r="T88" t="n">
        <v>1.01</v>
      </c>
      <c r="U88" s="6">
        <f>IF(ISNUMBER(G88),MAX(MAX(G88,Settings!$B$13)*Settings!$B$7*Settings!$B$5,IF(ISNUMBER(Settings!$B$12),Settings!$B$12,0))*(1+IF(Settings!$B$11="Y",0,Settings!$B$10/100))+N(Settings!$B$9),"")</f>
        <v/>
      </c>
      <c r="W88" s="6">
        <f>IF(ISNUMBER(V88),IF(V88*Settings!$B$8&gt;1000,"beyond table",IFERROR(LOOKUP(V88*Settings!$B$8,'FOIS 145A'!$A$2:$A$22,'FOIS 145A'!$C$2:$C$22)*(1+IF(Settings!$B$11="Y",0,Settings!$B$10/100)),"")),"")</f>
        <v/>
      </c>
      <c r="X88" s="6">
        <f>IF(AND(ISNUMBER(U88),ISNUMBER(W88)),U88+W88,"")</f>
        <v/>
      </c>
      <c r="Y88">
        <f>Settings!$B$6</f>
        <v/>
      </c>
    </row>
    <row r="89">
      <c r="A89" t="inlineStr">
        <is>
          <t>No</t>
        </is>
      </c>
      <c r="B89" t="inlineStr">
        <is>
          <t>mine = coal company's tender city; siding = same area</t>
        </is>
      </c>
      <c r="C89" t="inlineStr">
        <is>
          <t>Talcher / Angul (tender city)</t>
        </is>
      </c>
      <c r="D89" t="n">
        <v>217</v>
      </c>
      <c r="E89" t="inlineStr">
        <is>
          <t>Talcher / Angul (tender city)</t>
        </is>
      </c>
      <c r="F89" t="n">
        <v>217</v>
      </c>
      <c r="G89" t="n">
        <v>217</v>
      </c>
      <c r="H89" t="inlineStr">
        <is>
          <t>12438622</t>
        </is>
      </c>
      <c r="I89" t="inlineStr">
        <is>
          <t>GEM/2025/B/5775726</t>
        </is>
      </c>
      <c r="J89" t="inlineStr">
        <is>
          <t>coal loading at pit head s</t>
        </is>
      </c>
      <c r="K89" t="inlineStr">
        <is>
          <t>Loading / handling / crushing</t>
        </is>
      </c>
      <c r="L89" t="inlineStr">
        <is>
          <t>Mahanadi Coalfields Limited</t>
        </is>
      </c>
      <c r="M89" t="inlineStr">
        <is>
          <t>Orissa</t>
        </is>
      </c>
      <c r="N89" t="inlineStr">
        <is>
          <t>Angul</t>
        </is>
      </c>
      <c r="O89" s="5" t="n">
        <v>45677</v>
      </c>
      <c r="P89" t="inlineStr">
        <is>
          <t>AOC</t>
        </is>
      </c>
      <c r="Q89" t="inlineStr">
        <is>
          <t>Saikrupa Transport</t>
        </is>
      </c>
      <c r="R89" t="inlineStr">
        <is>
          <t>Saikrupa Coal Supplier</t>
        </is>
      </c>
      <c r="S89" t="inlineStr">
        <is>
          <t>5 named / 5</t>
        </is>
      </c>
      <c r="T89" t="n">
        <v>25</v>
      </c>
      <c r="U89" s="6">
        <f>IF(ISNUMBER(G89),MAX(MAX(G89,Settings!$B$13)*Settings!$B$7*Settings!$B$5,IF(ISNUMBER(Settings!$B$12),Settings!$B$12,0))*(1+IF(Settings!$B$11="Y",0,Settings!$B$10/100))+N(Settings!$B$9),"")</f>
        <v/>
      </c>
      <c r="W89" s="6">
        <f>IF(ISNUMBER(V89),IF(V89*Settings!$B$8&gt;1000,"beyond table",IFERROR(LOOKUP(V89*Settings!$B$8,'FOIS 145A'!$A$2:$A$22,'FOIS 145A'!$C$2:$C$22)*(1+IF(Settings!$B$11="Y",0,Settings!$B$10/100)),"")),"")</f>
        <v/>
      </c>
      <c r="X89" s="6">
        <f>IF(AND(ISNUMBER(U89),ISNUMBER(W89)),U89+W89,"")</f>
        <v/>
      </c>
      <c r="Y89">
        <f>Settings!$B$6</f>
        <v/>
      </c>
    </row>
    <row r="90">
      <c r="A90" t="inlineStr">
        <is>
          <t>No</t>
        </is>
      </c>
      <c r="B90" t="inlineStr">
        <is>
          <t>mine = coal company's tender city; siding = same area</t>
        </is>
      </c>
      <c r="C90" t="inlineStr">
        <is>
          <t>Talcher / Angul (tender city)</t>
        </is>
      </c>
      <c r="D90" t="n">
        <v>217</v>
      </c>
      <c r="E90" t="inlineStr">
        <is>
          <t>Talcher / Angul (tender city)</t>
        </is>
      </c>
      <c r="F90" t="n">
        <v>217</v>
      </c>
      <c r="G90" t="n">
        <v>217</v>
      </c>
      <c r="H90" t="inlineStr">
        <is>
          <t>16862563</t>
        </is>
      </c>
      <c r="I90" t="inlineStr">
        <is>
          <t>GEM/2025/B/7048687</t>
        </is>
      </c>
      <c r="J90" t="inlineStr">
        <is>
          <t>coal extraction kaniha ocp mcl</t>
        </is>
      </c>
      <c r="K90" t="inlineStr">
        <is>
          <t>Mining services (OB / extraction)</t>
        </is>
      </c>
      <c r="L90" t="inlineStr">
        <is>
          <t>Mahanadi Coalfields Limited</t>
        </is>
      </c>
      <c r="M90" t="inlineStr">
        <is>
          <t>Orissa</t>
        </is>
      </c>
      <c r="N90" t="inlineStr">
        <is>
          <t>Angul</t>
        </is>
      </c>
      <c r="O90" s="5" t="n">
        <v>46041</v>
      </c>
      <c r="P90" t="inlineStr">
        <is>
          <t>AOC</t>
        </is>
      </c>
      <c r="Q90" t="inlineStr">
        <is>
          <t>Vfpl Asipl Jv Company</t>
        </is>
      </c>
      <c r="R90" t="inlineStr"/>
      <c r="S90" t="inlineStr">
        <is>
          <t>5 named / 12</t>
        </is>
      </c>
      <c r="T90" t="n">
        <v>117.55</v>
      </c>
      <c r="U90" s="6">
        <f>IF(ISNUMBER(G90),MAX(MAX(G90,Settings!$B$13)*Settings!$B$7*Settings!$B$5,IF(ISNUMBER(Settings!$B$12),Settings!$B$12,0))*(1+IF(Settings!$B$11="Y",0,Settings!$B$10/100))+N(Settings!$B$9),"")</f>
        <v/>
      </c>
      <c r="W90" s="6">
        <f>IF(ISNUMBER(V90),IF(V90*Settings!$B$8&gt;1000,"beyond table",IFERROR(LOOKUP(V90*Settings!$B$8,'FOIS 145A'!$A$2:$A$22,'FOIS 145A'!$C$2:$C$22)*(1+IF(Settings!$B$11="Y",0,Settings!$B$10/100)),"")),"")</f>
        <v/>
      </c>
      <c r="X90" s="6">
        <f>IF(AND(ISNUMBER(U90),ISNUMBER(W90)),U90+W90,"")</f>
        <v/>
      </c>
      <c r="Y90">
        <f>Settings!$B$6</f>
        <v/>
      </c>
    </row>
    <row r="91">
      <c r="A91" t="inlineStr">
        <is>
          <t>No</t>
        </is>
      </c>
      <c r="B91" t="inlineStr">
        <is>
          <t>plant = tender city in Telangana; named mine/plant is far</t>
        </is>
      </c>
      <c r="C91" t="inlineStr"/>
      <c r="E91" t="inlineStr"/>
      <c r="H91" t="inlineStr">
        <is>
          <t>18305850</t>
        </is>
      </c>
      <c r="I91" t="inlineStr">
        <is>
          <t>GEM/2026/B/7977472</t>
        </is>
      </c>
      <c r="J91" t="inlineStr">
        <is>
          <t>supply of - domestic coal for ntpc (q3) -  | quantity - 500000</t>
        </is>
      </c>
      <c r="K91" t="inlineStr">
        <is>
          <t>Coal supply</t>
        </is>
      </c>
      <c r="L91" t="inlineStr">
        <is>
          <t>National Thermal Power Corporation Limited</t>
        </is>
      </c>
      <c r="M91" t="inlineStr">
        <is>
          <t>Telangana</t>
        </is>
      </c>
      <c r="N91" t="inlineStr">
        <is>
          <t>Karimnagar</t>
        </is>
      </c>
      <c r="O91" s="5" t="n">
        <v>46283</v>
      </c>
      <c r="P91" t="inlineStr">
        <is>
          <t>Financial</t>
        </is>
      </c>
      <c r="Q91" t="inlineStr">
        <is>
          <t>-</t>
        </is>
      </c>
      <c r="R91" t="inlineStr">
        <is>
          <t>Godavari Commodities</t>
        </is>
      </c>
      <c r="S91" t="inlineStr">
        <is>
          <t>5 named / 11</t>
        </is>
      </c>
      <c r="U91" s="6">
        <f>IF(ISNUMBER(G91),MAX(MAX(G91,Settings!$B$13)*Settings!$B$7*Settings!$B$5,IF(ISNUMBER(Settings!$B$12),Settings!$B$12,0))*(1+IF(Settings!$B$11="Y",0,Settings!$B$10/100))+N(Settings!$B$9),"")</f>
        <v/>
      </c>
      <c r="W91" s="6">
        <f>IF(ISNUMBER(V91),IF(V91*Settings!$B$8&gt;1000,"beyond table",IFERROR(LOOKUP(V91*Settings!$B$8,'FOIS 145A'!$A$2:$A$22,'FOIS 145A'!$C$2:$C$22)*(1+IF(Settings!$B$11="Y",0,Settings!$B$10/100)),"")),"")</f>
        <v/>
      </c>
      <c r="X91" s="6">
        <f>IF(AND(ISNUMBER(U91),ISNUMBER(W91)),U91+W91,"")</f>
        <v/>
      </c>
      <c r="Y91">
        <f>Settings!$B$6</f>
        <v/>
      </c>
    </row>
    <row r="92">
      <c r="A92" t="inlineStr">
        <is>
          <t>No</t>
        </is>
      </c>
      <c r="B92" t="inlineStr">
        <is>
          <t>plant = tender city in Andhra Pradesh; named mine/plant is far</t>
        </is>
      </c>
      <c r="C92" t="inlineStr"/>
      <c r="E92" t="inlineStr"/>
      <c r="H92" t="inlineStr">
        <is>
          <t>18354395</t>
        </is>
      </c>
      <c r="I92" t="inlineStr">
        <is>
          <t>GEM/2026/B/7977995</t>
        </is>
      </c>
      <c r="J92" t="inlineStr">
        <is>
          <t>supply of - domestic coal for ntpc (q3) -  | quantity - 500000</t>
        </is>
      </c>
      <c r="K92" t="inlineStr">
        <is>
          <t>Coal supply</t>
        </is>
      </c>
      <c r="L92" t="inlineStr">
        <is>
          <t>National Thermal Power Corporation Limited</t>
        </is>
      </c>
      <c r="M92" t="inlineStr">
        <is>
          <t>Andhra Pradesh</t>
        </is>
      </c>
      <c r="N92" t="inlineStr">
        <is>
          <t>Visakhapatnam</t>
        </is>
      </c>
      <c r="O92" s="5" t="n">
        <v>46283</v>
      </c>
      <c r="P92" t="inlineStr">
        <is>
          <t>Financial</t>
        </is>
      </c>
      <c r="Q92" t="inlineStr">
        <is>
          <t>-</t>
        </is>
      </c>
      <c r="R92" t="inlineStr">
        <is>
          <t>Godavari Commodities</t>
        </is>
      </c>
      <c r="S92" t="inlineStr">
        <is>
          <t>5 named / 11</t>
        </is>
      </c>
      <c r="U92" s="6">
        <f>IF(ISNUMBER(G92),MAX(MAX(G92,Settings!$B$13)*Settings!$B$7*Settings!$B$5,IF(ISNUMBER(Settings!$B$12),Settings!$B$12,0))*(1+IF(Settings!$B$11="Y",0,Settings!$B$10/100))+N(Settings!$B$9),"")</f>
        <v/>
      </c>
      <c r="W92" s="6">
        <f>IF(ISNUMBER(V92),IF(V92*Settings!$B$8&gt;1000,"beyond table",IFERROR(LOOKUP(V92*Settings!$B$8,'FOIS 145A'!$A$2:$A$22,'FOIS 145A'!$C$2:$C$22)*(1+IF(Settings!$B$11="Y",0,Settings!$B$10/100)),"")),"")</f>
        <v/>
      </c>
      <c r="X92" s="6">
        <f>IF(AND(ISNUMBER(U92),ISNUMBER(W92)),U92+W92,"")</f>
        <v/>
      </c>
      <c r="Y92">
        <f>Settings!$B$6</f>
        <v/>
      </c>
    </row>
    <row r="93">
      <c r="A93" t="inlineStr">
        <is>
          <t>No</t>
        </is>
      </c>
      <c r="B93" t="inlineStr">
        <is>
          <t>plant = tender city in Maharashtra; named mine/plant is far</t>
        </is>
      </c>
      <c r="C93" t="inlineStr"/>
      <c r="E93" t="inlineStr"/>
      <c r="H93" t="inlineStr">
        <is>
          <t>18382590</t>
        </is>
      </c>
      <c r="I93" t="inlineStr">
        <is>
          <t>GEM/2026/B/7977546</t>
        </is>
      </c>
      <c r="J93" t="inlineStr">
        <is>
          <t>supply of - domestic coal for ntpc (q3) -  | quantity - 500000</t>
        </is>
      </c>
      <c r="K93" t="inlineStr">
        <is>
          <t>Coal supply</t>
        </is>
      </c>
      <c r="L93" t="inlineStr">
        <is>
          <t>National Thermal Power Corporation Limited</t>
        </is>
      </c>
      <c r="M93" t="inlineStr">
        <is>
          <t>Maharashtra</t>
        </is>
      </c>
      <c r="N93" t="inlineStr">
        <is>
          <t>Nagpur</t>
        </is>
      </c>
      <c r="O93" s="5" t="n">
        <v>46283</v>
      </c>
      <c r="P93" t="inlineStr">
        <is>
          <t>Financial</t>
        </is>
      </c>
      <c r="Q93" t="inlineStr">
        <is>
          <t>-</t>
        </is>
      </c>
      <c r="R93" t="inlineStr">
        <is>
          <t>Godavari Commodities</t>
        </is>
      </c>
      <c r="S93" t="inlineStr">
        <is>
          <t>5 named / 13</t>
        </is>
      </c>
      <c r="U93" s="6">
        <f>IF(ISNUMBER(G93),MAX(MAX(G93,Settings!$B$13)*Settings!$B$7*Settings!$B$5,IF(ISNUMBER(Settings!$B$12),Settings!$B$12,0))*(1+IF(Settings!$B$11="Y",0,Settings!$B$10/100))+N(Settings!$B$9),"")</f>
        <v/>
      </c>
      <c r="W93" s="6">
        <f>IF(ISNUMBER(V93),IF(V93*Settings!$B$8&gt;1000,"beyond table",IFERROR(LOOKUP(V93*Settings!$B$8,'FOIS 145A'!$A$2:$A$22,'FOIS 145A'!$C$2:$C$22)*(1+IF(Settings!$B$11="Y",0,Settings!$B$10/100)),"")),"")</f>
        <v/>
      </c>
      <c r="X93" s="6">
        <f>IF(AND(ISNUMBER(U93),ISNUMBER(W93)),U93+W93,"")</f>
        <v/>
      </c>
      <c r="Y93">
        <f>Settings!$B$6</f>
        <v/>
      </c>
    </row>
    <row r="94">
      <c r="A94" t="inlineStr">
        <is>
          <t>No</t>
        </is>
      </c>
      <c r="B94" t="inlineStr">
        <is>
          <t>plant = tender city in Uttar Pradesh; named mine/plant is far</t>
        </is>
      </c>
      <c r="C94" t="inlineStr"/>
      <c r="E94" t="inlineStr"/>
      <c r="H94" t="inlineStr">
        <is>
          <t>18400873</t>
        </is>
      </c>
      <c r="I94" t="inlineStr">
        <is>
          <t>GEM/2026/B/7978009</t>
        </is>
      </c>
      <c r="J94" t="inlineStr">
        <is>
          <t>supply of - domestic coal for ntpc (q3) -  | quantity - 500000</t>
        </is>
      </c>
      <c r="K94" t="inlineStr">
        <is>
          <t>Coal supply</t>
        </is>
      </c>
      <c r="L94" t="inlineStr">
        <is>
          <t>National Thermal Power Corporation Limited</t>
        </is>
      </c>
      <c r="M94" t="inlineStr">
        <is>
          <t>Uttar Pradesh</t>
        </is>
      </c>
      <c r="N94" t="inlineStr">
        <is>
          <t>Ambedkar Nagar</t>
        </is>
      </c>
      <c r="O94" s="5" t="n">
        <v>46283</v>
      </c>
      <c r="P94" t="inlineStr">
        <is>
          <t>Financial</t>
        </is>
      </c>
      <c r="Q94" t="inlineStr">
        <is>
          <t>-</t>
        </is>
      </c>
      <c r="R94" t="inlineStr">
        <is>
          <t>Godavari Commodities, Indermani / Indramani</t>
        </is>
      </c>
      <c r="S94" t="inlineStr">
        <is>
          <t>5 named / 12</t>
        </is>
      </c>
      <c r="U94" s="6">
        <f>IF(ISNUMBER(G94),MAX(MAX(G94,Settings!$B$13)*Settings!$B$7*Settings!$B$5,IF(ISNUMBER(Settings!$B$12),Settings!$B$12,0))*(1+IF(Settings!$B$11="Y",0,Settings!$B$10/100))+N(Settings!$B$9),"")</f>
        <v/>
      </c>
      <c r="W94" s="6">
        <f>IF(ISNUMBER(V94),IF(V94*Settings!$B$8&gt;1000,"beyond table",IFERROR(LOOKUP(V94*Settings!$B$8,'FOIS 145A'!$A$2:$A$22,'FOIS 145A'!$C$2:$C$22)*(1+IF(Settings!$B$11="Y",0,Settings!$B$10/100)),"")),"")</f>
        <v/>
      </c>
      <c r="X94" s="6">
        <f>IF(AND(ISNUMBER(U94),ISNUMBER(W94)),U94+W94,"")</f>
        <v/>
      </c>
      <c r="Y94">
        <f>Settings!$B$6</f>
        <v/>
      </c>
    </row>
    <row r="95">
      <c r="A95" t="inlineStr">
        <is>
          <t>No</t>
        </is>
      </c>
      <c r="B95" t="inlineStr">
        <is>
          <t>plant = tender city in Uttar Pradesh; named mine/plant is far</t>
        </is>
      </c>
      <c r="C95" t="inlineStr"/>
      <c r="E95" t="inlineStr"/>
      <c r="H95" t="inlineStr">
        <is>
          <t>18214123</t>
        </is>
      </c>
      <c r="I95" t="inlineStr">
        <is>
          <t>GEM/2026/B/7998022</t>
        </is>
      </c>
      <c r="J95" t="inlineStr">
        <is>
          <t>supply of - domestic coal for ntpc (q3) -  | quantity - 500000</t>
        </is>
      </c>
      <c r="K95" t="inlineStr">
        <is>
          <t>Coal supply</t>
        </is>
      </c>
      <c r="L95" t="inlineStr">
        <is>
          <t>National Thermal Power Corporation Limited</t>
        </is>
      </c>
      <c r="M95" t="inlineStr">
        <is>
          <t>Uttar Pradesh</t>
        </is>
      </c>
      <c r="N95" t="inlineStr">
        <is>
          <t>Gautam Budhnagar</t>
        </is>
      </c>
      <c r="O95" s="5" t="n">
        <v>46274</v>
      </c>
      <c r="P95" t="inlineStr">
        <is>
          <t>AOC</t>
        </is>
      </c>
      <c r="Q95" t="inlineStr">
        <is>
          <t>Mohit Minerals Limited</t>
        </is>
      </c>
      <c r="R95" t="inlineStr">
        <is>
          <t>Godavari Commodities, Mohit Minerals, Sangita Sales</t>
        </is>
      </c>
      <c r="S95" t="inlineStr">
        <is>
          <t>5 named / 8</t>
        </is>
      </c>
      <c r="T95" t="n">
        <v>297.55</v>
      </c>
      <c r="U95" s="6">
        <f>IF(ISNUMBER(G95),MAX(MAX(G95,Settings!$B$13)*Settings!$B$7*Settings!$B$5,IF(ISNUMBER(Settings!$B$12),Settings!$B$12,0))*(1+IF(Settings!$B$11="Y",0,Settings!$B$10/100))+N(Settings!$B$9),"")</f>
        <v/>
      </c>
      <c r="W95" s="6">
        <f>IF(ISNUMBER(V95),IF(V95*Settings!$B$8&gt;1000,"beyond table",IFERROR(LOOKUP(V95*Settings!$B$8,'FOIS 145A'!$A$2:$A$22,'FOIS 145A'!$C$2:$C$22)*(1+IF(Settings!$B$11="Y",0,Settings!$B$10/100)),"")),"")</f>
        <v/>
      </c>
      <c r="X95" s="6">
        <f>IF(AND(ISNUMBER(U95),ISNUMBER(W95)),U95+W95,"")</f>
        <v/>
      </c>
      <c r="Y95">
        <f>Settings!$B$6</f>
        <v/>
      </c>
    </row>
    <row r="96">
      <c r="A96" t="inlineStr">
        <is>
          <t>No</t>
        </is>
      </c>
      <c r="B96" t="inlineStr">
        <is>
          <t>plant = tender city in Bihar; named mine/plant is far</t>
        </is>
      </c>
      <c r="C96" t="inlineStr"/>
      <c r="E96" t="inlineStr"/>
      <c r="H96" t="inlineStr">
        <is>
          <t>18261397</t>
        </is>
      </c>
      <c r="I96" t="inlineStr">
        <is>
          <t>GEM/2026/B/7997430</t>
        </is>
      </c>
      <c r="J96" t="inlineStr">
        <is>
          <t>supply of - domestic coal for ntpc (q3) -  | quantity - 500000</t>
        </is>
      </c>
      <c r="K96" t="inlineStr">
        <is>
          <t>Coal supply</t>
        </is>
      </c>
      <c r="L96" t="inlineStr">
        <is>
          <t>National Thermal Power Corporation Limited</t>
        </is>
      </c>
      <c r="M96" t="inlineStr">
        <is>
          <t>Bihar</t>
        </is>
      </c>
      <c r="N96" t="inlineStr">
        <is>
          <t>Patna</t>
        </is>
      </c>
      <c r="O96" s="5" t="n">
        <v>46274</v>
      </c>
      <c r="P96" t="inlineStr">
        <is>
          <t>AOC</t>
        </is>
      </c>
      <c r="Q96" t="inlineStr">
        <is>
          <t>Shri Harjika Enterprises</t>
        </is>
      </c>
      <c r="R96" t="inlineStr">
        <is>
          <t>Godavari Commodities, Mohit Minerals, Sangita Sales</t>
        </is>
      </c>
      <c r="S96" t="inlineStr">
        <is>
          <t>5 named / 8</t>
        </is>
      </c>
      <c r="T96" t="n">
        <v>255.98</v>
      </c>
      <c r="U96" s="6">
        <f>IF(ISNUMBER(G96),MAX(MAX(G96,Settings!$B$13)*Settings!$B$7*Settings!$B$5,IF(ISNUMBER(Settings!$B$12),Settings!$B$12,0))*(1+IF(Settings!$B$11="Y",0,Settings!$B$10/100))+N(Settings!$B$9),"")</f>
        <v/>
      </c>
      <c r="W96" s="6">
        <f>IF(ISNUMBER(V96),IF(V96*Settings!$B$8&gt;1000,"beyond table",IFERROR(LOOKUP(V96*Settings!$B$8,'FOIS 145A'!$A$2:$A$22,'FOIS 145A'!$C$2:$C$22)*(1+IF(Settings!$B$11="Y",0,Settings!$B$10/100)),"")),"")</f>
        <v/>
      </c>
      <c r="X96" s="6">
        <f>IF(AND(ISNUMBER(U96),ISNUMBER(W96)),U96+W96,"")</f>
        <v/>
      </c>
      <c r="Y96">
        <f>Settings!$B$6</f>
        <v/>
      </c>
    </row>
    <row r="97">
      <c r="A97" t="inlineStr">
        <is>
          <t>No</t>
        </is>
      </c>
      <c r="B97" t="inlineStr">
        <is>
          <t>plant = tender city in Uttar Pradesh; named mine/plant is far</t>
        </is>
      </c>
      <c r="C97" t="inlineStr"/>
      <c r="E97" t="inlineStr"/>
      <c r="H97" t="inlineStr">
        <is>
          <t>18214127</t>
        </is>
      </c>
      <c r="I97" t="inlineStr">
        <is>
          <t>GEM/2026/B/7997400</t>
        </is>
      </c>
      <c r="J97" t="inlineStr">
        <is>
          <t>supply of - domestic coal for ntpc (q3) -  | quantity - 500000</t>
        </is>
      </c>
      <c r="K97" t="inlineStr">
        <is>
          <t>Coal supply</t>
        </is>
      </c>
      <c r="L97" t="inlineStr">
        <is>
          <t>National Thermal Power Corporation Limited</t>
        </is>
      </c>
      <c r="M97" t="inlineStr">
        <is>
          <t>Uttar Pradesh</t>
        </is>
      </c>
      <c r="N97" t="inlineStr">
        <is>
          <t>Raebareli</t>
        </is>
      </c>
      <c r="O97" s="5" t="n">
        <v>46274</v>
      </c>
      <c r="P97" t="inlineStr">
        <is>
          <t>Financial</t>
        </is>
      </c>
      <c r="Q97" t="inlineStr">
        <is>
          <t>-</t>
        </is>
      </c>
      <c r="R97" t="inlineStr">
        <is>
          <t>Godavari Commodities, Indermani / Indramani, Mohit Minerals, Sangita Sales</t>
        </is>
      </c>
      <c r="S97" t="inlineStr">
        <is>
          <t>5 named / 9</t>
        </is>
      </c>
      <c r="U97" s="6">
        <f>IF(ISNUMBER(G97),MAX(MAX(G97,Settings!$B$13)*Settings!$B$7*Settings!$B$5,IF(ISNUMBER(Settings!$B$12),Settings!$B$12,0))*(1+IF(Settings!$B$11="Y",0,Settings!$B$10/100))+N(Settings!$B$9),"")</f>
        <v/>
      </c>
      <c r="W97" s="6">
        <f>IF(ISNUMBER(V97),IF(V97*Settings!$B$8&gt;1000,"beyond table",IFERROR(LOOKUP(V97*Settings!$B$8,'FOIS 145A'!$A$2:$A$22,'FOIS 145A'!$C$2:$C$22)*(1+IF(Settings!$B$11="Y",0,Settings!$B$10/100)),"")),"")</f>
        <v/>
      </c>
      <c r="X97" s="6">
        <f>IF(AND(ISNUMBER(U97),ISNUMBER(W97)),U97+W97,"")</f>
        <v/>
      </c>
      <c r="Y97">
        <f>Settings!$B$6</f>
        <v/>
      </c>
    </row>
    <row r="98">
      <c r="A98" t="inlineStr">
        <is>
          <t>No</t>
        </is>
      </c>
      <c r="B98" t="inlineStr">
        <is>
          <t>plant = tender city in Tamil Nadu; named mine/plant is far</t>
        </is>
      </c>
      <c r="C98" t="inlineStr"/>
      <c r="E98" t="inlineStr"/>
      <c r="H98" t="inlineStr">
        <is>
          <t>18065871</t>
        </is>
      </c>
      <c r="I98" t="inlineStr">
        <is>
          <t>2026_TNPL_694205_1</t>
        </is>
      </c>
      <c r="J98" t="inlineStr">
        <is>
          <t>procurement of 4200 gar imported steaming non coking coal in bulk</t>
        </is>
      </c>
      <c r="K98" t="inlineStr">
        <is>
          <t>Coal supply</t>
        </is>
      </c>
      <c r="L98" t="inlineStr">
        <is>
          <t>Tamil Nadu Newsprint And Papers Limited</t>
        </is>
      </c>
      <c r="M98" t="inlineStr">
        <is>
          <t>Tamil Nadu</t>
        </is>
      </c>
      <c r="N98" t="inlineStr">
        <is>
          <t>Karur</t>
        </is>
      </c>
      <c r="O98" s="5" t="n">
        <v>46262</v>
      </c>
      <c r="P98" t="inlineStr">
        <is>
          <t>AOC</t>
        </is>
      </c>
      <c r="Q98" t="inlineStr">
        <is>
          <t>Smartgen Infra Private Limited</t>
        </is>
      </c>
      <c r="R98" t="inlineStr">
        <is>
          <t>Mohit Minerals</t>
        </is>
      </c>
      <c r="S98" t="inlineStr">
        <is>
          <t>5 named / 6</t>
        </is>
      </c>
      <c r="T98" t="n">
        <v>128.57</v>
      </c>
      <c r="U98" s="6">
        <f>IF(ISNUMBER(G98),MAX(MAX(G98,Settings!$B$13)*Settings!$B$7*Settings!$B$5,IF(ISNUMBER(Settings!$B$12),Settings!$B$12,0))*(1+IF(Settings!$B$11="Y",0,Settings!$B$10/100))+N(Settings!$B$9),"")</f>
        <v/>
      </c>
      <c r="W98" s="6">
        <f>IF(ISNUMBER(V98),IF(V98*Settings!$B$8&gt;1000,"beyond table",IFERROR(LOOKUP(V98*Settings!$B$8,'FOIS 145A'!$A$2:$A$22,'FOIS 145A'!$C$2:$C$22)*(1+IF(Settings!$B$11="Y",0,Settings!$B$10/100)),"")),"")</f>
        <v/>
      </c>
      <c r="X98" s="6">
        <f>IF(AND(ISNUMBER(U98),ISNUMBER(W98)),U98+W98,"")</f>
        <v/>
      </c>
      <c r="Y98">
        <f>Settings!$B$6</f>
        <v/>
      </c>
    </row>
    <row r="99">
      <c r="A99" t="inlineStr">
        <is>
          <t>No</t>
        </is>
      </c>
      <c r="B99" t="inlineStr">
        <is>
          <t>plant = tender city in Madhya Pradesh; named mine/plant is far</t>
        </is>
      </c>
      <c r="C99" t="inlineStr"/>
      <c r="E99" t="inlineStr"/>
      <c r="H99" t="inlineStr">
        <is>
          <t>18318773</t>
        </is>
      </c>
      <c r="I99" t="inlineStr">
        <is>
          <t>GEM/2026/B/7657978</t>
        </is>
      </c>
      <c r="J99" t="inlineStr">
        <is>
          <t>supply of - coal -  | quantity - 24000</t>
        </is>
      </c>
      <c r="K99" t="inlineStr">
        <is>
          <t>Coal supply</t>
        </is>
      </c>
      <c r="L99" t="inlineStr">
        <is>
          <t>Bharat Petroleum Corporation Limited</t>
        </is>
      </c>
      <c r="M99" t="inlineStr">
        <is>
          <t>Madhya Pradesh</t>
        </is>
      </c>
      <c r="N99" t="inlineStr">
        <is>
          <t>Sagar</t>
        </is>
      </c>
      <c r="O99" s="5" t="n">
        <v>46213</v>
      </c>
      <c r="P99" t="inlineStr">
        <is>
          <t>Financial</t>
        </is>
      </c>
      <c r="Q99" t="inlineStr">
        <is>
          <t>-</t>
        </is>
      </c>
      <c r="R99" t="inlineStr">
        <is>
          <t>Godavari Commodities</t>
        </is>
      </c>
      <c r="S99" t="inlineStr">
        <is>
          <t>5 named / 15</t>
        </is>
      </c>
      <c r="U99" s="6">
        <f>IF(ISNUMBER(G99),MAX(MAX(G99,Settings!$B$13)*Settings!$B$7*Settings!$B$5,IF(ISNUMBER(Settings!$B$12),Settings!$B$12,0))*(1+IF(Settings!$B$11="Y",0,Settings!$B$10/100))+N(Settings!$B$9),"")</f>
        <v/>
      </c>
      <c r="W99" s="6">
        <f>IF(ISNUMBER(V99),IF(V99*Settings!$B$8&gt;1000,"beyond table",IFERROR(LOOKUP(V99*Settings!$B$8,'FOIS 145A'!$A$2:$A$22,'FOIS 145A'!$C$2:$C$22)*(1+IF(Settings!$B$11="Y",0,Settings!$B$10/100)),"")),"")</f>
        <v/>
      </c>
      <c r="X99" s="6">
        <f>IF(AND(ISNUMBER(U99),ISNUMBER(W99)),U99+W99,"")</f>
        <v/>
      </c>
      <c r="Y99">
        <f>Settings!$B$6</f>
        <v/>
      </c>
    </row>
    <row r="100">
      <c r="A100" t="inlineStr">
        <is>
          <t>No</t>
        </is>
      </c>
      <c r="B100" t="inlineStr">
        <is>
          <t>plant = tender city in Madhya Pradesh; named mine/plant is far</t>
        </is>
      </c>
      <c r="C100" t="inlineStr"/>
      <c r="E100" t="inlineStr"/>
      <c r="H100" t="inlineStr">
        <is>
          <t>17929382</t>
        </is>
      </c>
      <c r="I100" t="inlineStr">
        <is>
          <t>GEM/2026/B/7629446</t>
        </is>
      </c>
      <c r="J100" t="inlineStr">
        <is>
          <t>supply of - domestic coal for ntpc (q3) -  | quantity - 500000</t>
        </is>
      </c>
      <c r="K100" t="inlineStr">
        <is>
          <t>Coal supply</t>
        </is>
      </c>
      <c r="L100" t="inlineStr">
        <is>
          <t>National Thermal Power Corporation Limited</t>
        </is>
      </c>
      <c r="M100" t="inlineStr">
        <is>
          <t>Madhya Pradesh</t>
        </is>
      </c>
      <c r="N100" t="inlineStr">
        <is>
          <t>Narsinghpur</t>
        </is>
      </c>
      <c r="O100" s="5" t="n">
        <v>46209</v>
      </c>
      <c r="P100" t="inlineStr">
        <is>
          <t>AOC</t>
        </is>
      </c>
      <c r="Q100" t="inlineStr">
        <is>
          <t>Shri Harjika Enterprises, Tirupati Minerals Private Limited</t>
        </is>
      </c>
      <c r="R100" t="inlineStr">
        <is>
          <t>Godavari Commodities, Indermani / Indramani</t>
        </is>
      </c>
      <c r="S100" t="inlineStr">
        <is>
          <t>5 named / 11</t>
        </is>
      </c>
      <c r="T100" t="n">
        <v>245.72</v>
      </c>
      <c r="U100" s="6">
        <f>IF(ISNUMBER(G100),MAX(MAX(G100,Settings!$B$13)*Settings!$B$7*Settings!$B$5,IF(ISNUMBER(Settings!$B$12),Settings!$B$12,0))*(1+IF(Settings!$B$11="Y",0,Settings!$B$10/100))+N(Settings!$B$9),"")</f>
        <v/>
      </c>
      <c r="W100" s="6">
        <f>IF(ISNUMBER(V100),IF(V100*Settings!$B$8&gt;1000,"beyond table",IFERROR(LOOKUP(V100*Settings!$B$8,'FOIS 145A'!$A$2:$A$22,'FOIS 145A'!$C$2:$C$22)*(1+IF(Settings!$B$11="Y",0,Settings!$B$10/100)),"")),"")</f>
        <v/>
      </c>
      <c r="X100" s="6">
        <f>IF(AND(ISNUMBER(U100),ISNUMBER(W100)),U100+W100,"")</f>
        <v/>
      </c>
      <c r="Y100">
        <f>Settings!$B$6</f>
        <v/>
      </c>
    </row>
    <row r="101">
      <c r="A101" t="inlineStr">
        <is>
          <t>No</t>
        </is>
      </c>
      <c r="B101" t="inlineStr">
        <is>
          <t>plant = tender city in Madhya Pradesh; named mine/plant is far</t>
        </is>
      </c>
      <c r="C101" t="inlineStr"/>
      <c r="E101" t="inlineStr"/>
      <c r="H101" t="inlineStr">
        <is>
          <t>17963328</t>
        </is>
      </c>
      <c r="I101" t="inlineStr">
        <is>
          <t>GEM/2026/B/7623455</t>
        </is>
      </c>
      <c r="J101" t="inlineStr">
        <is>
          <t>supply of - domestic coal for ntpc (q3) -  | quantity - 500000</t>
        </is>
      </c>
      <c r="K101" t="inlineStr">
        <is>
          <t>Coal supply</t>
        </is>
      </c>
      <c r="L101" t="inlineStr">
        <is>
          <t>National Thermal Power Corporation Limited</t>
        </is>
      </c>
      <c r="M101" t="inlineStr">
        <is>
          <t>Madhya Pradesh</t>
        </is>
      </c>
      <c r="N101" t="inlineStr">
        <is>
          <t>Khargone</t>
        </is>
      </c>
      <c r="O101" s="5" t="n">
        <v>46209</v>
      </c>
      <c r="P101" t="inlineStr">
        <is>
          <t>AOC</t>
        </is>
      </c>
      <c r="Q101" t="inlineStr">
        <is>
          <t>Indermani Mineral India Private Limited, Mahavir Coal Resources Private Limited</t>
        </is>
      </c>
      <c r="R101" t="inlineStr">
        <is>
          <t>Godavari Commodities, Indermani / Indramani, Mohit Minerals</t>
        </is>
      </c>
      <c r="S101" t="inlineStr">
        <is>
          <t>5 named / 10</t>
        </is>
      </c>
      <c r="T101" t="n">
        <v>277.64</v>
      </c>
      <c r="U101" s="6">
        <f>IF(ISNUMBER(G101),MAX(MAX(G101,Settings!$B$13)*Settings!$B$7*Settings!$B$5,IF(ISNUMBER(Settings!$B$12),Settings!$B$12,0))*(1+IF(Settings!$B$11="Y",0,Settings!$B$10/100))+N(Settings!$B$9),"")</f>
        <v/>
      </c>
      <c r="W101" s="6">
        <f>IF(ISNUMBER(V101),IF(V101*Settings!$B$8&gt;1000,"beyond table",IFERROR(LOOKUP(V101*Settings!$B$8,'FOIS 145A'!$A$2:$A$22,'FOIS 145A'!$C$2:$C$22)*(1+IF(Settings!$B$11="Y",0,Settings!$B$10/100)),"")),"")</f>
        <v/>
      </c>
      <c r="X101" s="6">
        <f>IF(AND(ISNUMBER(U101),ISNUMBER(W101)),U101+W101,"")</f>
        <v/>
      </c>
      <c r="Y101">
        <f>Settings!$B$6</f>
        <v/>
      </c>
    </row>
    <row r="102">
      <c r="A102" t="inlineStr">
        <is>
          <t>No</t>
        </is>
      </c>
      <c r="B102" t="inlineStr">
        <is>
          <t>plant = tender city in Karnataka; named mine/plant is far</t>
        </is>
      </c>
      <c r="C102" t="inlineStr"/>
      <c r="E102" t="inlineStr"/>
      <c r="H102" t="inlineStr">
        <is>
          <t>17988363</t>
        </is>
      </c>
      <c r="I102" t="inlineStr">
        <is>
          <t>GEM/2026/B/7629534</t>
        </is>
      </c>
      <c r="J102" t="inlineStr">
        <is>
          <t>supply of - domestic coal for ntpc (q3) -  | quantity - 500000</t>
        </is>
      </c>
      <c r="K102" t="inlineStr">
        <is>
          <t>Coal supply</t>
        </is>
      </c>
      <c r="L102" t="inlineStr">
        <is>
          <t>National Thermal Power Corporation Limited</t>
        </is>
      </c>
      <c r="M102" t="inlineStr">
        <is>
          <t>Karnataka</t>
        </is>
      </c>
      <c r="N102" t="inlineStr">
        <is>
          <t>Bijapur</t>
        </is>
      </c>
      <c r="O102" s="5" t="n">
        <v>46209</v>
      </c>
      <c r="P102" t="inlineStr">
        <is>
          <t>Financial</t>
        </is>
      </c>
      <c r="Q102" t="inlineStr">
        <is>
          <t>-</t>
        </is>
      </c>
      <c r="R102" t="inlineStr">
        <is>
          <t>Godavari Commodities, Mohit Minerals</t>
        </is>
      </c>
      <c r="S102" t="inlineStr">
        <is>
          <t>5 named / 12</t>
        </is>
      </c>
      <c r="U102" s="6">
        <f>IF(ISNUMBER(G102),MAX(MAX(G102,Settings!$B$13)*Settings!$B$7*Settings!$B$5,IF(ISNUMBER(Settings!$B$12),Settings!$B$12,0))*(1+IF(Settings!$B$11="Y",0,Settings!$B$10/100))+N(Settings!$B$9),"")</f>
        <v/>
      </c>
      <c r="W102" s="6">
        <f>IF(ISNUMBER(V102),IF(V102*Settings!$B$8&gt;1000,"beyond table",IFERROR(LOOKUP(V102*Settings!$B$8,'FOIS 145A'!$A$2:$A$22,'FOIS 145A'!$C$2:$C$22)*(1+IF(Settings!$B$11="Y",0,Settings!$B$10/100)),"")),"")</f>
        <v/>
      </c>
      <c r="X102" s="6">
        <f>IF(AND(ISNUMBER(U102),ISNUMBER(W102)),U102+W102,"")</f>
        <v/>
      </c>
      <c r="Y102">
        <f>Settings!$B$6</f>
        <v/>
      </c>
    </row>
    <row r="103">
      <c r="A103" t="inlineStr">
        <is>
          <t>No</t>
        </is>
      </c>
      <c r="B103" t="inlineStr">
        <is>
          <t>plant = tender city in Maharashtra; named mine/plant is far</t>
        </is>
      </c>
      <c r="C103" t="inlineStr"/>
      <c r="E103" t="inlineStr"/>
      <c r="H103" t="inlineStr">
        <is>
          <t>18059089</t>
        </is>
      </c>
      <c r="I103" t="inlineStr">
        <is>
          <t>GEM/2026/B/7627356</t>
        </is>
      </c>
      <c r="J103" t="inlineStr">
        <is>
          <t>supply of - domestic coal for ntpc (q3) -  | quantity - 500000</t>
        </is>
      </c>
      <c r="K103" t="inlineStr">
        <is>
          <t>Coal supply</t>
        </is>
      </c>
      <c r="L103" t="inlineStr">
        <is>
          <t>National Thermal Power Corporation Limited</t>
        </is>
      </c>
      <c r="M103" t="inlineStr">
        <is>
          <t>Maharashtra</t>
        </is>
      </c>
      <c r="N103" t="inlineStr">
        <is>
          <t>Solapur</t>
        </is>
      </c>
      <c r="O103" s="5" t="n">
        <v>46209</v>
      </c>
      <c r="P103" t="inlineStr">
        <is>
          <t>Financial</t>
        </is>
      </c>
      <c r="Q103" t="inlineStr">
        <is>
          <t>-</t>
        </is>
      </c>
      <c r="R103" t="inlineStr">
        <is>
          <t>Godavari Commodities, Indermani / Indramani</t>
        </is>
      </c>
      <c r="S103" t="inlineStr">
        <is>
          <t>5 named / 12</t>
        </is>
      </c>
      <c r="U103" s="6">
        <f>IF(ISNUMBER(G103),MAX(MAX(G103,Settings!$B$13)*Settings!$B$7*Settings!$B$5,IF(ISNUMBER(Settings!$B$12),Settings!$B$12,0))*(1+IF(Settings!$B$11="Y",0,Settings!$B$10/100))+N(Settings!$B$9),"")</f>
        <v/>
      </c>
      <c r="W103" s="6">
        <f>IF(ISNUMBER(V103),IF(V103*Settings!$B$8&gt;1000,"beyond table",IFERROR(LOOKUP(V103*Settings!$B$8,'FOIS 145A'!$A$2:$A$22,'FOIS 145A'!$C$2:$C$22)*(1+IF(Settings!$B$11="Y",0,Settings!$B$10/100)),"")),"")</f>
        <v/>
      </c>
      <c r="X103" s="6">
        <f>IF(AND(ISNUMBER(U103),ISNUMBER(W103)),U103+W103,"")</f>
        <v/>
      </c>
      <c r="Y103">
        <f>Settings!$B$6</f>
        <v/>
      </c>
    </row>
    <row r="104">
      <c r="A104" t="inlineStr">
        <is>
          <t>No</t>
        </is>
      </c>
      <c r="B104" t="inlineStr">
        <is>
          <t>plant = tender city in Andhra Pradesh; named mine/plant is far</t>
        </is>
      </c>
      <c r="C104" t="inlineStr"/>
      <c r="E104" t="inlineStr"/>
      <c r="H104" t="inlineStr">
        <is>
          <t>17588064</t>
        </is>
      </c>
      <c r="I104" t="inlineStr">
        <is>
          <t>GEM/2026/B/7603465</t>
        </is>
      </c>
      <c r="J104" t="inlineStr">
        <is>
          <t>supply of - steam coal (q3) -  | quantity - 60000</t>
        </is>
      </c>
      <c r="K104" t="inlineStr">
        <is>
          <t>Coal supply</t>
        </is>
      </c>
      <c r="L104" t="inlineStr">
        <is>
          <t>Rashtriya Ispat Nigam Limited</t>
        </is>
      </c>
      <c r="M104" t="inlineStr">
        <is>
          <t>Andhra Pradesh</t>
        </is>
      </c>
      <c r="N104" t="inlineStr">
        <is>
          <t>Visakhapatnam</t>
        </is>
      </c>
      <c r="O104" s="5" t="n">
        <v>46189</v>
      </c>
      <c r="P104" t="inlineStr">
        <is>
          <t>Financial</t>
        </is>
      </c>
      <c r="Q104" t="inlineStr">
        <is>
          <t>-</t>
        </is>
      </c>
      <c r="R104" t="inlineStr">
        <is>
          <t>Godavari Commodities</t>
        </is>
      </c>
      <c r="S104" t="inlineStr">
        <is>
          <t>5 named / 7</t>
        </is>
      </c>
      <c r="U104" s="6">
        <f>IF(ISNUMBER(G104),MAX(MAX(G104,Settings!$B$13)*Settings!$B$7*Settings!$B$5,IF(ISNUMBER(Settings!$B$12),Settings!$B$12,0))*(1+IF(Settings!$B$11="Y",0,Settings!$B$10/100))+N(Settings!$B$9),"")</f>
        <v/>
      </c>
      <c r="W104" s="6">
        <f>IF(ISNUMBER(V104),IF(V104*Settings!$B$8&gt;1000,"beyond table",IFERROR(LOOKUP(V104*Settings!$B$8,'FOIS 145A'!$A$2:$A$22,'FOIS 145A'!$C$2:$C$22)*(1+IF(Settings!$B$11="Y",0,Settings!$B$10/100)),"")),"")</f>
        <v/>
      </c>
      <c r="X104" s="6">
        <f>IF(AND(ISNUMBER(U104),ISNUMBER(W104)),U104+W104,"")</f>
        <v/>
      </c>
      <c r="Y104">
        <f>Settings!$B$6</f>
        <v/>
      </c>
    </row>
    <row r="105">
      <c r="A105" t="inlineStr">
        <is>
          <t>No</t>
        </is>
      </c>
      <c r="B105" t="inlineStr">
        <is>
          <t>plant = tender city in Tamil Nadu; named mine/plant is far</t>
        </is>
      </c>
      <c r="C105" t="inlineStr"/>
      <c r="E105" t="inlineStr"/>
      <c r="H105" t="inlineStr">
        <is>
          <t>17412591</t>
        </is>
      </c>
      <c r="I105" t="inlineStr">
        <is>
          <t>2026_TNPL_677967_1</t>
        </is>
      </c>
      <c r="J105" t="inlineStr">
        <is>
          <t>procurement of 4200 gar imported steaming non coking coal in bulk</t>
        </is>
      </c>
      <c r="K105" t="inlineStr">
        <is>
          <t>Coal supply</t>
        </is>
      </c>
      <c r="L105" t="inlineStr">
        <is>
          <t>Tamil Nadu Newsprint And Papers Limited</t>
        </is>
      </c>
      <c r="M105" t="inlineStr">
        <is>
          <t>Tamil Nadu</t>
        </is>
      </c>
      <c r="N105" t="inlineStr">
        <is>
          <t>Karur</t>
        </is>
      </c>
      <c r="O105" s="5" t="n">
        <v>46181</v>
      </c>
      <c r="P105" t="inlineStr">
        <is>
          <t>AOC</t>
        </is>
      </c>
      <c r="Q105" t="inlineStr">
        <is>
          <t>Global Coal Ventures Private Limited, Smartgen Infra Private Limited</t>
        </is>
      </c>
      <c r="R105" t="inlineStr">
        <is>
          <t>Mohit Minerals</t>
        </is>
      </c>
      <c r="S105" t="inlineStr">
        <is>
          <t>5 named / 7</t>
        </is>
      </c>
      <c r="T105" t="n">
        <v>129.85</v>
      </c>
      <c r="U105" s="6">
        <f>IF(ISNUMBER(G105),MAX(MAX(G105,Settings!$B$13)*Settings!$B$7*Settings!$B$5,IF(ISNUMBER(Settings!$B$12),Settings!$B$12,0))*(1+IF(Settings!$B$11="Y",0,Settings!$B$10/100))+N(Settings!$B$9),"")</f>
        <v/>
      </c>
      <c r="W105" s="6">
        <f>IF(ISNUMBER(V105),IF(V105*Settings!$B$8&gt;1000,"beyond table",IFERROR(LOOKUP(V105*Settings!$B$8,'FOIS 145A'!$A$2:$A$22,'FOIS 145A'!$C$2:$C$22)*(1+IF(Settings!$B$11="Y",0,Settings!$B$10/100)),"")),"")</f>
        <v/>
      </c>
      <c r="X105" s="6">
        <f>IF(AND(ISNUMBER(U105),ISNUMBER(W105)),U105+W105,"")</f>
        <v/>
      </c>
      <c r="Y105">
        <f>Settings!$B$6</f>
        <v/>
      </c>
    </row>
    <row r="106">
      <c r="A106" t="inlineStr">
        <is>
          <t>No</t>
        </is>
      </c>
      <c r="B106" t="inlineStr">
        <is>
          <t>plant = tender city in Madhya Pradesh; named mine/plant is far</t>
        </is>
      </c>
      <c r="C106" t="inlineStr"/>
      <c r="E106" t="inlineStr"/>
      <c r="H106" t="inlineStr">
        <is>
          <t>17115658</t>
        </is>
      </c>
      <c r="I106" t="inlineStr">
        <is>
          <t>GEM/2026/B/7431653</t>
        </is>
      </c>
      <c r="J106" t="inlineStr">
        <is>
          <t>supply of - procurement of indigenous coal -  | quantity - 5000</t>
        </is>
      </c>
      <c r="K106" t="inlineStr">
        <is>
          <t>Coal supply</t>
        </is>
      </c>
      <c r="L106" t="inlineStr">
        <is>
          <t>Nepa Mills Limited</t>
        </is>
      </c>
      <c r="M106" t="inlineStr">
        <is>
          <t>Madhya Pradesh</t>
        </is>
      </c>
      <c r="N106" t="inlineStr">
        <is>
          <t>Burhanpur</t>
        </is>
      </c>
      <c r="O106" s="5" t="n">
        <v>46136</v>
      </c>
      <c r="P106" t="inlineStr">
        <is>
          <t>Financial</t>
        </is>
      </c>
      <c r="Q106" t="inlineStr">
        <is>
          <t>-</t>
        </is>
      </c>
      <c r="R106" t="inlineStr">
        <is>
          <t>Tirupati Minerals</t>
        </is>
      </c>
      <c r="S106" t="inlineStr">
        <is>
          <t>3 named / 3</t>
        </is>
      </c>
      <c r="U106" s="6">
        <f>IF(ISNUMBER(G106),MAX(MAX(G106,Settings!$B$13)*Settings!$B$7*Settings!$B$5,IF(ISNUMBER(Settings!$B$12),Settings!$B$12,0))*(1+IF(Settings!$B$11="Y",0,Settings!$B$10/100))+N(Settings!$B$9),"")</f>
        <v/>
      </c>
      <c r="W106" s="6">
        <f>IF(ISNUMBER(V106),IF(V106*Settings!$B$8&gt;1000,"beyond table",IFERROR(LOOKUP(V106*Settings!$B$8,'FOIS 145A'!$A$2:$A$22,'FOIS 145A'!$C$2:$C$22)*(1+IF(Settings!$B$11="Y",0,Settings!$B$10/100)),"")),"")</f>
        <v/>
      </c>
      <c r="X106" s="6">
        <f>IF(AND(ISNUMBER(U106),ISNUMBER(W106)),U106+W106,"")</f>
        <v/>
      </c>
      <c r="Y106">
        <f>Settings!$B$6</f>
        <v/>
      </c>
    </row>
    <row r="107">
      <c r="A107" t="inlineStr">
        <is>
          <t>No</t>
        </is>
      </c>
      <c r="B107" t="inlineStr">
        <is>
          <t>plant = tender city in Tamil Nadu; named mine/plant is far</t>
        </is>
      </c>
      <c r="C107" t="inlineStr"/>
      <c r="E107" t="inlineStr"/>
      <c r="H107" t="inlineStr">
        <is>
          <t>16956217</t>
        </is>
      </c>
      <c r="I107" t="inlineStr">
        <is>
          <t>2026_TNPL_675457_1</t>
        </is>
      </c>
      <c r="J107" t="inlineStr">
        <is>
          <t>procurement of 4200 gar imported steaming non coking coal in bulk through stock and sale basis and arrange for delivery at tnpl factory basis for unit-i and unit-ii</t>
        </is>
      </c>
      <c r="K107" t="inlineStr">
        <is>
          <t>Coal supply</t>
        </is>
      </c>
      <c r="L107" t="inlineStr">
        <is>
          <t>Tamil Nadu Newsprint And Papers Limited</t>
        </is>
      </c>
      <c r="M107" t="inlineStr">
        <is>
          <t>Tamil Nadu</t>
        </is>
      </c>
      <c r="N107" t="inlineStr">
        <is>
          <t>Karur</t>
        </is>
      </c>
      <c r="O107" s="5" t="n">
        <v>46119</v>
      </c>
      <c r="P107" t="inlineStr">
        <is>
          <t>AOC</t>
        </is>
      </c>
      <c r="Q107" t="inlineStr">
        <is>
          <t>Mohit Minerals Limited</t>
        </is>
      </c>
      <c r="R107" t="inlineStr">
        <is>
          <t>Mohit Minerals</t>
        </is>
      </c>
      <c r="S107" t="inlineStr">
        <is>
          <t>4 named / 4</t>
        </is>
      </c>
      <c r="T107" t="n">
        <v>17.75</v>
      </c>
      <c r="U107" s="6">
        <f>IF(ISNUMBER(G107),MAX(MAX(G107,Settings!$B$13)*Settings!$B$7*Settings!$B$5,IF(ISNUMBER(Settings!$B$12),Settings!$B$12,0))*(1+IF(Settings!$B$11="Y",0,Settings!$B$10/100))+N(Settings!$B$9),"")</f>
        <v/>
      </c>
      <c r="W107" s="6">
        <f>IF(ISNUMBER(V107),IF(V107*Settings!$B$8&gt;1000,"beyond table",IFERROR(LOOKUP(V107*Settings!$B$8,'FOIS 145A'!$A$2:$A$22,'FOIS 145A'!$C$2:$C$22)*(1+IF(Settings!$B$11="Y",0,Settings!$B$10/100)),"")),"")</f>
        <v/>
      </c>
      <c r="X107" s="6">
        <f>IF(AND(ISNUMBER(U107),ISNUMBER(W107)),U107+W107,"")</f>
        <v/>
      </c>
      <c r="Y107">
        <f>Settings!$B$6</f>
        <v/>
      </c>
    </row>
    <row r="108">
      <c r="A108" t="inlineStr">
        <is>
          <t>No</t>
        </is>
      </c>
      <c r="B108" t="inlineStr">
        <is>
          <t>plant = tender city in Tamil Nadu; named mine/plant is far</t>
        </is>
      </c>
      <c r="C108" t="inlineStr"/>
      <c r="E108" t="inlineStr"/>
      <c r="H108" t="inlineStr">
        <is>
          <t>16885255</t>
        </is>
      </c>
      <c r="I108" t="inlineStr">
        <is>
          <t>2026_TNPL_674410_1</t>
        </is>
      </c>
      <c r="J108" t="inlineStr">
        <is>
          <t>procurement of 4200 gar imported steaming non coking coal in bulk</t>
        </is>
      </c>
      <c r="K108" t="inlineStr">
        <is>
          <t>Coal supply</t>
        </is>
      </c>
      <c r="L108" t="inlineStr">
        <is>
          <t>Tamil Nadu Newsprint And Papers Limited</t>
        </is>
      </c>
      <c r="M108" t="inlineStr">
        <is>
          <t>Tamil Nadu</t>
        </is>
      </c>
      <c r="N108" t="inlineStr">
        <is>
          <t>Karur</t>
        </is>
      </c>
      <c r="O108" s="5" t="n">
        <v>46109</v>
      </c>
      <c r="P108" t="inlineStr">
        <is>
          <t>AOC</t>
        </is>
      </c>
      <c r="Q108" t="inlineStr">
        <is>
          <t>Mohit Minerals Limited</t>
        </is>
      </c>
      <c r="R108" t="inlineStr">
        <is>
          <t>Mohit Minerals</t>
        </is>
      </c>
      <c r="S108" t="inlineStr">
        <is>
          <t>5 named / 6</t>
        </is>
      </c>
      <c r="T108" t="n">
        <v>60.63</v>
      </c>
      <c r="U108" s="6">
        <f>IF(ISNUMBER(G108),MAX(MAX(G108,Settings!$B$13)*Settings!$B$7*Settings!$B$5,IF(ISNUMBER(Settings!$B$12),Settings!$B$12,0))*(1+IF(Settings!$B$11="Y",0,Settings!$B$10/100))+N(Settings!$B$9),"")</f>
        <v/>
      </c>
      <c r="W108" s="6">
        <f>IF(ISNUMBER(V108),IF(V108*Settings!$B$8&gt;1000,"beyond table",IFERROR(LOOKUP(V108*Settings!$B$8,'FOIS 145A'!$A$2:$A$22,'FOIS 145A'!$C$2:$C$22)*(1+IF(Settings!$B$11="Y",0,Settings!$B$10/100)),"")),"")</f>
        <v/>
      </c>
      <c r="X108" s="6">
        <f>IF(AND(ISNUMBER(U108),ISNUMBER(W108)),U108+W108,"")</f>
        <v/>
      </c>
      <c r="Y108">
        <f>Settings!$B$6</f>
        <v/>
      </c>
    </row>
    <row r="109">
      <c r="A109" t="inlineStr">
        <is>
          <t>No</t>
        </is>
      </c>
      <c r="B109" t="inlineStr">
        <is>
          <t>plant = tender city in Tamil Nadu; named mine/plant is far</t>
        </is>
      </c>
      <c r="C109" t="inlineStr"/>
      <c r="E109" t="inlineStr"/>
      <c r="H109" t="inlineStr">
        <is>
          <t>16527962</t>
        </is>
      </c>
      <c r="I109" t="inlineStr">
        <is>
          <t>2026_TNPL_651475_2</t>
        </is>
      </c>
      <c r="J109" t="inlineStr">
        <is>
          <t>procurement of 4200 gar imported steaming non coking coal in bulk</t>
        </is>
      </c>
      <c r="K109" t="inlineStr">
        <is>
          <t>Coal supply</t>
        </is>
      </c>
      <c r="L109" t="inlineStr">
        <is>
          <t>Tamil Nadu Newsprint And Papers Limited</t>
        </is>
      </c>
      <c r="M109" t="inlineStr">
        <is>
          <t>Tamil Nadu</t>
        </is>
      </c>
      <c r="N109" t="inlineStr">
        <is>
          <t>Karur</t>
        </is>
      </c>
      <c r="O109" s="5" t="n">
        <v>46073</v>
      </c>
      <c r="P109" t="inlineStr">
        <is>
          <t>AOC</t>
        </is>
      </c>
      <c r="Q109" t="inlineStr">
        <is>
          <t>Smartgen Infra Private Limited</t>
        </is>
      </c>
      <c r="R109" t="inlineStr">
        <is>
          <t>Mohit Minerals</t>
        </is>
      </c>
      <c r="S109" t="inlineStr">
        <is>
          <t>5 named / 7</t>
        </is>
      </c>
      <c r="T109" t="n">
        <v>210.06</v>
      </c>
      <c r="U109" s="6">
        <f>IF(ISNUMBER(G109),MAX(MAX(G109,Settings!$B$13)*Settings!$B$7*Settings!$B$5,IF(ISNUMBER(Settings!$B$12),Settings!$B$12,0))*(1+IF(Settings!$B$11="Y",0,Settings!$B$10/100))+N(Settings!$B$9),"")</f>
        <v/>
      </c>
      <c r="W109" s="6">
        <f>IF(ISNUMBER(V109),IF(V109*Settings!$B$8&gt;1000,"beyond table",IFERROR(LOOKUP(V109*Settings!$B$8,'FOIS 145A'!$A$2:$A$22,'FOIS 145A'!$C$2:$C$22)*(1+IF(Settings!$B$11="Y",0,Settings!$B$10/100)),"")),"")</f>
        <v/>
      </c>
      <c r="X109" s="6">
        <f>IF(AND(ISNUMBER(U109),ISNUMBER(W109)),U109+W109,"")</f>
        <v/>
      </c>
      <c r="Y109">
        <f>Settings!$B$6</f>
        <v/>
      </c>
    </row>
    <row r="110">
      <c r="A110" t="inlineStr">
        <is>
          <t>No</t>
        </is>
      </c>
      <c r="B110" t="inlineStr">
        <is>
          <t>plant = tender city in Tamil Nadu; named mine/plant is far</t>
        </is>
      </c>
      <c r="C110" t="inlineStr"/>
      <c r="E110" t="inlineStr"/>
      <c r="H110" t="inlineStr">
        <is>
          <t>15468873</t>
        </is>
      </c>
      <c r="I110" t="inlineStr">
        <is>
          <t>2025_TNPL_611261_1</t>
        </is>
      </c>
      <c r="J110" t="inlineStr">
        <is>
          <t>procurement of 4200 gar imported steaming non coking coal in bulk</t>
        </is>
      </c>
      <c r="K110" t="inlineStr">
        <is>
          <t>Coal supply</t>
        </is>
      </c>
      <c r="L110" t="inlineStr">
        <is>
          <t>Tamil Nadu Newsprint And Papers Limited</t>
        </is>
      </c>
      <c r="M110" t="inlineStr">
        <is>
          <t>Tamil Nadu</t>
        </is>
      </c>
      <c r="N110" t="inlineStr">
        <is>
          <t>Karur</t>
        </is>
      </c>
      <c r="O110" s="5" t="n">
        <v>45964</v>
      </c>
      <c r="P110" t="inlineStr">
        <is>
          <t>AOC</t>
        </is>
      </c>
      <c r="Q110" t="inlineStr">
        <is>
          <t>Mohit Minerals Limited</t>
        </is>
      </c>
      <c r="R110" t="inlineStr">
        <is>
          <t>Mohit Minerals</t>
        </is>
      </c>
      <c r="S110" t="inlineStr">
        <is>
          <t>5 named / 6</t>
        </is>
      </c>
      <c r="T110" t="n">
        <v>126.64</v>
      </c>
      <c r="U110" s="6">
        <f>IF(ISNUMBER(G110),MAX(MAX(G110,Settings!$B$13)*Settings!$B$7*Settings!$B$5,IF(ISNUMBER(Settings!$B$12),Settings!$B$12,0))*(1+IF(Settings!$B$11="Y",0,Settings!$B$10/100))+N(Settings!$B$9),"")</f>
        <v/>
      </c>
      <c r="W110" s="6">
        <f>IF(ISNUMBER(V110),IF(V110*Settings!$B$8&gt;1000,"beyond table",IFERROR(LOOKUP(V110*Settings!$B$8,'FOIS 145A'!$A$2:$A$22,'FOIS 145A'!$C$2:$C$22)*(1+IF(Settings!$B$11="Y",0,Settings!$B$10/100)),"")),"")</f>
        <v/>
      </c>
      <c r="X110" s="6">
        <f>IF(AND(ISNUMBER(U110),ISNUMBER(W110)),U110+W110,"")</f>
        <v/>
      </c>
      <c r="Y110">
        <f>Settings!$B$6</f>
        <v/>
      </c>
    </row>
    <row r="111">
      <c r="A111" t="inlineStr">
        <is>
          <t>No</t>
        </is>
      </c>
      <c r="B111" t="inlineStr">
        <is>
          <t>named mine/plant is far</t>
        </is>
      </c>
      <c r="C111" t="inlineStr"/>
      <c r="E111" t="inlineStr"/>
      <c r="H111" t="inlineStr">
        <is>
          <t>15458854</t>
        </is>
      </c>
      <c r="I111" t="inlineStr">
        <is>
          <t>2025_MSMC_1208841_1</t>
        </is>
      </c>
      <c r="J111" t="inlineStr">
        <is>
          <t>lifting and beneficiation of rom coal quantity of 3 mmtpa (2 to 2.5 lakhs tonnes per month) from secl command area and supply of beneficiated coal to koradi tps of mahagenco.</t>
        </is>
      </c>
      <c r="K111" t="inlineStr">
        <is>
          <t>Coal supply</t>
        </is>
      </c>
      <c r="L111" t="inlineStr">
        <is>
          <t>Maharashtra State Mining Corporation Limited</t>
        </is>
      </c>
      <c r="M111" t="inlineStr">
        <is>
          <t>Maharashtra</t>
        </is>
      </c>
      <c r="N111" t="inlineStr">
        <is>
          <t>Nagpur</t>
        </is>
      </c>
      <c r="O111" s="5" t="n">
        <v>45920</v>
      </c>
      <c r="P111" t="inlineStr">
        <is>
          <t>Technical</t>
        </is>
      </c>
      <c r="Q111" t="inlineStr">
        <is>
          <t>-</t>
        </is>
      </c>
      <c r="R111" t="inlineStr"/>
      <c r="S111" t="inlineStr">
        <is>
          <t>5 named / 6</t>
        </is>
      </c>
      <c r="U111" s="6">
        <f>IF(ISNUMBER(G111),MAX(MAX(G111,Settings!$B$13)*Settings!$B$7*Settings!$B$5,IF(ISNUMBER(Settings!$B$12),Settings!$B$12,0))*(1+IF(Settings!$B$11="Y",0,Settings!$B$10/100))+N(Settings!$B$9),"")</f>
        <v/>
      </c>
      <c r="W111" s="6">
        <f>IF(ISNUMBER(V111),IF(V111*Settings!$B$8&gt;1000,"beyond table",IFERROR(LOOKUP(V111*Settings!$B$8,'FOIS 145A'!$A$2:$A$22,'FOIS 145A'!$C$2:$C$22)*(1+IF(Settings!$B$11="Y",0,Settings!$B$10/100)),"")),"")</f>
        <v/>
      </c>
      <c r="X111" s="6">
        <f>IF(AND(ISNUMBER(U111),ISNUMBER(W111)),U111+W111,"")</f>
        <v/>
      </c>
      <c r="Y111">
        <f>Settings!$B$6</f>
        <v/>
      </c>
    </row>
    <row r="112">
      <c r="A112" t="inlineStr">
        <is>
          <t>No</t>
        </is>
      </c>
      <c r="B112" t="inlineStr">
        <is>
          <t>plant = tender city in Tamil Nadu; named mine/plant is far</t>
        </is>
      </c>
      <c r="C112" t="inlineStr"/>
      <c r="E112" t="inlineStr"/>
      <c r="H112" t="inlineStr">
        <is>
          <t>14516832</t>
        </is>
      </c>
      <c r="I112" t="inlineStr">
        <is>
          <t>2025_TNPL_582316_1</t>
        </is>
      </c>
      <c r="J112" t="inlineStr">
        <is>
          <t>procurement of 4200 gar imported steaming non coking coal in bulk</t>
        </is>
      </c>
      <c r="K112" t="inlineStr">
        <is>
          <t>Coal supply</t>
        </is>
      </c>
      <c r="L112" t="inlineStr">
        <is>
          <t>Tamil Nadu Newsprint And Papers Limited</t>
        </is>
      </c>
      <c r="M112" t="inlineStr">
        <is>
          <t>Tamil Nadu</t>
        </is>
      </c>
      <c r="N112" t="inlineStr">
        <is>
          <t>Karur</t>
        </is>
      </c>
      <c r="O112" s="5" t="n">
        <v>45866</v>
      </c>
      <c r="P112" t="inlineStr">
        <is>
          <t>AOC</t>
        </is>
      </c>
      <c r="Q112" t="inlineStr">
        <is>
          <t>Mbg Commodities Private Limited</t>
        </is>
      </c>
      <c r="R112" t="inlineStr"/>
      <c r="S112" t="inlineStr">
        <is>
          <t>5 named / 9</t>
        </is>
      </c>
      <c r="T112" t="n">
        <v>104.77</v>
      </c>
      <c r="U112" s="6">
        <f>IF(ISNUMBER(G112),MAX(MAX(G112,Settings!$B$13)*Settings!$B$7*Settings!$B$5,IF(ISNUMBER(Settings!$B$12),Settings!$B$12,0))*(1+IF(Settings!$B$11="Y",0,Settings!$B$10/100))+N(Settings!$B$9),"")</f>
        <v/>
      </c>
      <c r="W112" s="6">
        <f>IF(ISNUMBER(V112),IF(V112*Settings!$B$8&gt;1000,"beyond table",IFERROR(LOOKUP(V112*Settings!$B$8,'FOIS 145A'!$A$2:$A$22,'FOIS 145A'!$C$2:$C$22)*(1+IF(Settings!$B$11="Y",0,Settings!$B$10/100)),"")),"")</f>
        <v/>
      </c>
      <c r="X112" s="6">
        <f>IF(AND(ISNUMBER(U112),ISNUMBER(W112)),U112+W112,"")</f>
        <v/>
      </c>
      <c r="Y112">
        <f>Settings!$B$6</f>
        <v/>
      </c>
    </row>
    <row r="113">
      <c r="A113" t="inlineStr">
        <is>
          <t>No</t>
        </is>
      </c>
      <c r="B113" t="inlineStr">
        <is>
          <t>plant = tender city in Tamil Nadu; named mine/plant is far</t>
        </is>
      </c>
      <c r="C113" t="inlineStr"/>
      <c r="E113" t="inlineStr"/>
      <c r="H113" t="inlineStr">
        <is>
          <t>14114281</t>
        </is>
      </c>
      <c r="I113" t="inlineStr">
        <is>
          <t>2025_TNPL_564326_1</t>
        </is>
      </c>
      <c r="J113" t="inlineStr">
        <is>
          <t>procurement of 4200 gar imported steaming non coking coal in bulk</t>
        </is>
      </c>
      <c r="K113" t="inlineStr">
        <is>
          <t>Coal supply</t>
        </is>
      </c>
      <c r="L113" t="inlineStr">
        <is>
          <t>Tamil Nadu Newsprint And Papers Limited</t>
        </is>
      </c>
      <c r="M113" t="inlineStr">
        <is>
          <t>Tamil Nadu</t>
        </is>
      </c>
      <c r="N113" t="inlineStr">
        <is>
          <t>Karur</t>
        </is>
      </c>
      <c r="O113" s="5" t="n">
        <v>45825</v>
      </c>
      <c r="P113" t="inlineStr">
        <is>
          <t>AOC</t>
        </is>
      </c>
      <c r="Q113" t="inlineStr">
        <is>
          <t>Anand Carbo Private Limited, Mbg Commodities Private Limited</t>
        </is>
      </c>
      <c r="R113" t="inlineStr">
        <is>
          <t>Mohit Minerals</t>
        </is>
      </c>
      <c r="S113" t="inlineStr">
        <is>
          <t>5 named / 9</t>
        </is>
      </c>
      <c r="T113" t="n">
        <v>66.59999999999999</v>
      </c>
      <c r="U113" s="6">
        <f>IF(ISNUMBER(G113),MAX(MAX(G113,Settings!$B$13)*Settings!$B$7*Settings!$B$5,IF(ISNUMBER(Settings!$B$12),Settings!$B$12,0))*(1+IF(Settings!$B$11="Y",0,Settings!$B$10/100))+N(Settings!$B$9),"")</f>
        <v/>
      </c>
      <c r="W113" s="6">
        <f>IF(ISNUMBER(V113),IF(V113*Settings!$B$8&gt;1000,"beyond table",IFERROR(LOOKUP(V113*Settings!$B$8,'FOIS 145A'!$A$2:$A$22,'FOIS 145A'!$C$2:$C$22)*(1+IF(Settings!$B$11="Y",0,Settings!$B$10/100)),"")),"")</f>
        <v/>
      </c>
      <c r="X113" s="6">
        <f>IF(AND(ISNUMBER(U113),ISNUMBER(W113)),U113+W113,"")</f>
        <v/>
      </c>
      <c r="Y113">
        <f>Settings!$B$6</f>
        <v/>
      </c>
    </row>
    <row r="114">
      <c r="A114" t="inlineStr">
        <is>
          <t>No</t>
        </is>
      </c>
      <c r="B114" t="inlineStr">
        <is>
          <t>plant = tender city in Madhya Pradesh; named mine/plant is far</t>
        </is>
      </c>
      <c r="C114" t="inlineStr"/>
      <c r="E114" t="inlineStr"/>
      <c r="H114" t="inlineStr">
        <is>
          <t>13720759</t>
        </is>
      </c>
      <c r="I114" t="inlineStr">
        <is>
          <t>GEM/2025/B/6142396</t>
        </is>
      </c>
      <c r="J114" t="inlineStr">
        <is>
          <t>domestic coal for ntpc</t>
        </is>
      </c>
      <c r="K114" t="inlineStr">
        <is>
          <t>Coal supply</t>
        </is>
      </c>
      <c r="L114" t="inlineStr">
        <is>
          <t>National Thermal Power Corporation Limited</t>
        </is>
      </c>
      <c r="M114" t="inlineStr">
        <is>
          <t>Madhya Pradesh</t>
        </is>
      </c>
      <c r="N114" t="inlineStr">
        <is>
          <t>Khargone</t>
        </is>
      </c>
      <c r="O114" s="5" t="n">
        <v>45805</v>
      </c>
      <c r="P114" t="inlineStr">
        <is>
          <t>Financial</t>
        </is>
      </c>
      <c r="Q114" t="inlineStr">
        <is>
          <t>-</t>
        </is>
      </c>
      <c r="R114" t="inlineStr">
        <is>
          <t>Godavari Commodities</t>
        </is>
      </c>
      <c r="S114" t="inlineStr">
        <is>
          <t>5 named / 15</t>
        </is>
      </c>
      <c r="U114" s="6">
        <f>IF(ISNUMBER(G114),MAX(MAX(G114,Settings!$B$13)*Settings!$B$7*Settings!$B$5,IF(ISNUMBER(Settings!$B$12),Settings!$B$12,0))*(1+IF(Settings!$B$11="Y",0,Settings!$B$10/100))+N(Settings!$B$9),"")</f>
        <v/>
      </c>
      <c r="W114" s="6">
        <f>IF(ISNUMBER(V114),IF(V114*Settings!$B$8&gt;1000,"beyond table",IFERROR(LOOKUP(V114*Settings!$B$8,'FOIS 145A'!$A$2:$A$22,'FOIS 145A'!$C$2:$C$22)*(1+IF(Settings!$B$11="Y",0,Settings!$B$10/100)),"")),"")</f>
        <v/>
      </c>
      <c r="X114" s="6">
        <f>IF(AND(ISNUMBER(U114),ISNUMBER(W114)),U114+W114,"")</f>
        <v/>
      </c>
      <c r="Y114">
        <f>Settings!$B$6</f>
        <v/>
      </c>
    </row>
    <row r="115">
      <c r="A115" t="inlineStr">
        <is>
          <t>No</t>
        </is>
      </c>
      <c r="B115" t="inlineStr">
        <is>
          <t>plant = tender city in West Bengal; named mine/plant is far</t>
        </is>
      </c>
      <c r="C115" t="inlineStr"/>
      <c r="E115" t="inlineStr"/>
      <c r="H115" t="inlineStr">
        <is>
          <t>13548637</t>
        </is>
      </c>
      <c r="I115" t="inlineStr">
        <is>
          <t>GEM/2025/B/6074984</t>
        </is>
      </c>
      <c r="J115" t="inlineStr">
        <is>
          <t>domestic coal for ntpc</t>
        </is>
      </c>
      <c r="K115" t="inlineStr">
        <is>
          <t>Coal supply</t>
        </is>
      </c>
      <c r="L115" t="inlineStr">
        <is>
          <t>Damodar Valley Corporation</t>
        </is>
      </c>
      <c r="M115" t="inlineStr">
        <is>
          <t>West Bengal</t>
        </is>
      </c>
      <c r="N115" t="inlineStr">
        <is>
          <t>Purulia</t>
        </is>
      </c>
      <c r="O115" s="5" t="n">
        <v>45792</v>
      </c>
      <c r="P115" t="inlineStr">
        <is>
          <t>AOC</t>
        </is>
      </c>
      <c r="Q115" t="inlineStr">
        <is>
          <t>Godavari Commodities Limited, Sendoz Commercials Private Limited</t>
        </is>
      </c>
      <c r="R115" t="inlineStr"/>
      <c r="S115" t="inlineStr">
        <is>
          <t>5 named / 22</t>
        </is>
      </c>
      <c r="T115" t="n">
        <v>723</v>
      </c>
      <c r="U115" s="6">
        <f>IF(ISNUMBER(G115),MAX(MAX(G115,Settings!$B$13)*Settings!$B$7*Settings!$B$5,IF(ISNUMBER(Settings!$B$12),Settings!$B$12,0))*(1+IF(Settings!$B$11="Y",0,Settings!$B$10/100))+N(Settings!$B$9),"")</f>
        <v/>
      </c>
      <c r="W115" s="6">
        <f>IF(ISNUMBER(V115),IF(V115*Settings!$B$8&gt;1000,"beyond table",IFERROR(LOOKUP(V115*Settings!$B$8,'FOIS 145A'!$A$2:$A$22,'FOIS 145A'!$C$2:$C$22)*(1+IF(Settings!$B$11="Y",0,Settings!$B$10/100)),"")),"")</f>
        <v/>
      </c>
      <c r="X115" s="6">
        <f>IF(AND(ISNUMBER(U115),ISNUMBER(W115)),U115+W115,"")</f>
        <v/>
      </c>
      <c r="Y115">
        <f>Settings!$B$6</f>
        <v/>
      </c>
    </row>
    <row r="116">
      <c r="A116" t="inlineStr">
        <is>
          <t>No</t>
        </is>
      </c>
      <c r="B116" t="inlineStr">
        <is>
          <t>plant = tender city in Multi State; named mine/plant is far</t>
        </is>
      </c>
      <c r="C116" t="inlineStr"/>
      <c r="E116" t="inlineStr"/>
      <c r="H116" t="inlineStr">
        <is>
          <t>14895387</t>
        </is>
      </c>
      <c r="I116" t="inlineStr">
        <is>
          <t>3299/1</t>
        </is>
      </c>
      <c r="J116" t="inlineStr">
        <is>
          <t>procurement of 1 mmt of import of non-coking (steaming) coal 5800 keal/kg gcv.</t>
        </is>
      </c>
      <c r="K116" t="inlineStr">
        <is>
          <t>Coal supply</t>
        </is>
      </c>
      <c r="L116" t="inlineStr">
        <is>
          <t>Neyveli Lignite Corporation Limited</t>
        </is>
      </c>
      <c r="M116" t="inlineStr">
        <is>
          <t>Multi State</t>
        </is>
      </c>
      <c r="N116" t="inlineStr">
        <is>
          <t>Multi Location</t>
        </is>
      </c>
      <c r="O116" s="5" t="n">
        <v>45752</v>
      </c>
      <c r="P116" t="inlineStr">
        <is>
          <t>AOC</t>
        </is>
      </c>
      <c r="Q116" t="inlineStr">
        <is>
          <t>M/S Imt International Trading Ag</t>
        </is>
      </c>
      <c r="R116" t="inlineStr"/>
      <c r="S116" t="inlineStr">
        <is>
          <t>5 named / 10</t>
        </is>
      </c>
      <c r="T116" t="n">
        <v>630.9</v>
      </c>
      <c r="U116" s="6">
        <f>IF(ISNUMBER(G116),MAX(MAX(G116,Settings!$B$13)*Settings!$B$7*Settings!$B$5,IF(ISNUMBER(Settings!$B$12),Settings!$B$12,0))*(1+IF(Settings!$B$11="Y",0,Settings!$B$10/100))+N(Settings!$B$9),"")</f>
        <v/>
      </c>
      <c r="W116" s="6">
        <f>IF(ISNUMBER(V116),IF(V116*Settings!$B$8&gt;1000,"beyond table",IFERROR(LOOKUP(V116*Settings!$B$8,'FOIS 145A'!$A$2:$A$22,'FOIS 145A'!$C$2:$C$22)*(1+IF(Settings!$B$11="Y",0,Settings!$B$10/100)),"")),"")</f>
        <v/>
      </c>
      <c r="X116" s="6">
        <f>IF(AND(ISNUMBER(U116),ISNUMBER(W116)),U116+W116,"")</f>
        <v/>
      </c>
      <c r="Y116">
        <f>Settings!$B$6</f>
        <v/>
      </c>
    </row>
    <row r="117">
      <c r="A117" t="inlineStr">
        <is>
          <t>No</t>
        </is>
      </c>
      <c r="B117" t="inlineStr">
        <is>
          <t>plant = tender city in Multi State; named mine/plant is far</t>
        </is>
      </c>
      <c r="C117" t="inlineStr"/>
      <c r="E117" t="inlineStr"/>
      <c r="H117" t="inlineStr">
        <is>
          <t>14895397</t>
        </is>
      </c>
      <c r="I117" t="inlineStr">
        <is>
          <t>3299/2</t>
        </is>
      </c>
      <c r="J117" t="inlineStr">
        <is>
          <t>procurement of 1 mmt of import of non-coking (steaming) coal 5800 keal/kg gcv.</t>
        </is>
      </c>
      <c r="K117" t="inlineStr">
        <is>
          <t>Coal supply</t>
        </is>
      </c>
      <c r="L117" t="inlineStr">
        <is>
          <t>Neyveli Lignite Corporation Limited</t>
        </is>
      </c>
      <c r="M117" t="inlineStr">
        <is>
          <t>Multi State</t>
        </is>
      </c>
      <c r="N117" t="inlineStr">
        <is>
          <t>Multi Location</t>
        </is>
      </c>
      <c r="O117" s="5" t="n">
        <v>45752</v>
      </c>
      <c r="P117" t="inlineStr">
        <is>
          <t>AOC</t>
        </is>
      </c>
      <c r="Q117" t="inlineStr">
        <is>
          <t>Trident Chemphar Limited</t>
        </is>
      </c>
      <c r="R117" t="inlineStr">
        <is>
          <t>Mohit Minerals</t>
        </is>
      </c>
      <c r="S117" t="inlineStr">
        <is>
          <t>5 named / 10</t>
        </is>
      </c>
      <c r="T117" t="n">
        <v>270.35</v>
      </c>
      <c r="U117" s="6">
        <f>IF(ISNUMBER(G117),MAX(MAX(G117,Settings!$B$13)*Settings!$B$7*Settings!$B$5,IF(ISNUMBER(Settings!$B$12),Settings!$B$12,0))*(1+IF(Settings!$B$11="Y",0,Settings!$B$10/100))+N(Settings!$B$9),"")</f>
        <v/>
      </c>
      <c r="W117" s="6">
        <f>IF(ISNUMBER(V117),IF(V117*Settings!$B$8&gt;1000,"beyond table",IFERROR(LOOKUP(V117*Settings!$B$8,'FOIS 145A'!$A$2:$A$22,'FOIS 145A'!$C$2:$C$22)*(1+IF(Settings!$B$11="Y",0,Settings!$B$10/100)),"")),"")</f>
        <v/>
      </c>
      <c r="X117" s="6">
        <f>IF(AND(ISNUMBER(U117),ISNUMBER(W117)),U117+W117,"")</f>
        <v/>
      </c>
      <c r="Y117">
        <f>Settings!$B$6</f>
        <v/>
      </c>
    </row>
    <row r="118">
      <c r="A118" t="inlineStr">
        <is>
          <t>No</t>
        </is>
      </c>
      <c r="B118" t="inlineStr">
        <is>
          <t>plant = tender city in Tamil Nadu; named mine/plant is far</t>
        </is>
      </c>
      <c r="C118" t="inlineStr"/>
      <c r="E118" t="inlineStr"/>
      <c r="H118" t="inlineStr">
        <is>
          <t>13122152</t>
        </is>
      </c>
      <c r="I118" t="inlineStr">
        <is>
          <t>2025_TNPL_532438_1</t>
        </is>
      </c>
      <c r="J118" t="inlineStr">
        <is>
          <t>procurement of 4200 gar imported steaming non coking coal in bulk</t>
        </is>
      </c>
      <c r="K118" t="inlineStr">
        <is>
          <t>Coal supply</t>
        </is>
      </c>
      <c r="L118" t="inlineStr">
        <is>
          <t>Tamil Nadu Newsprint And Papers Limited</t>
        </is>
      </c>
      <c r="M118" t="inlineStr">
        <is>
          <t>Tamil Nadu</t>
        </is>
      </c>
      <c r="N118" t="inlineStr">
        <is>
          <t>Karur</t>
        </is>
      </c>
      <c r="O118" s="5" t="n">
        <v>45744</v>
      </c>
      <c r="P118" t="inlineStr">
        <is>
          <t>AOC</t>
        </is>
      </c>
      <c r="Q118" t="inlineStr">
        <is>
          <t>Global Coal Ventures Private Limited, Saraogi Udyog Private Limited</t>
        </is>
      </c>
      <c r="R118" t="inlineStr">
        <is>
          <t>Mohit Minerals</t>
        </is>
      </c>
      <c r="S118" t="inlineStr">
        <is>
          <t>5 named / 5</t>
        </is>
      </c>
      <c r="T118" t="n">
        <v>95.5</v>
      </c>
      <c r="U118" s="6">
        <f>IF(ISNUMBER(G118),MAX(MAX(G118,Settings!$B$13)*Settings!$B$7*Settings!$B$5,IF(ISNUMBER(Settings!$B$12),Settings!$B$12,0))*(1+IF(Settings!$B$11="Y",0,Settings!$B$10/100))+N(Settings!$B$9),"")</f>
        <v/>
      </c>
      <c r="W118" s="6">
        <f>IF(ISNUMBER(V118),IF(V118*Settings!$B$8&gt;1000,"beyond table",IFERROR(LOOKUP(V118*Settings!$B$8,'FOIS 145A'!$A$2:$A$22,'FOIS 145A'!$C$2:$C$22)*(1+IF(Settings!$B$11="Y",0,Settings!$B$10/100)),"")),"")</f>
        <v/>
      </c>
      <c r="X118" s="6">
        <f>IF(AND(ISNUMBER(U118),ISNUMBER(W118)),U118+W118,"")</f>
        <v/>
      </c>
      <c r="Y118">
        <f>Settings!$B$6</f>
        <v/>
      </c>
    </row>
    <row r="119">
      <c r="A119" t="inlineStr">
        <is>
          <t>No</t>
        </is>
      </c>
      <c r="B119" t="inlineStr">
        <is>
          <t>plant = tender city in Tamil Nadu; named mine/plant is far</t>
        </is>
      </c>
      <c r="C119" t="inlineStr"/>
      <c r="E119" t="inlineStr"/>
      <c r="H119" t="inlineStr">
        <is>
          <t>12471239</t>
        </is>
      </c>
      <c r="I119" t="inlineStr">
        <is>
          <t>2025_TNPL_517889_1</t>
        </is>
      </c>
      <c r="J119" t="inlineStr">
        <is>
          <t>procurement of 4200 gar imported steaming non coking coal in bulk</t>
        </is>
      </c>
      <c r="K119" t="inlineStr">
        <is>
          <t>Coal supply</t>
        </is>
      </c>
      <c r="L119" t="inlineStr">
        <is>
          <t>Tamil Nadu Newsprint And Papers Limited</t>
        </is>
      </c>
      <c r="M119" t="inlineStr">
        <is>
          <t>Tamil Nadu</t>
        </is>
      </c>
      <c r="N119" t="inlineStr">
        <is>
          <t>Karur</t>
        </is>
      </c>
      <c r="O119" s="5" t="n">
        <v>45681</v>
      </c>
      <c r="P119" t="inlineStr">
        <is>
          <t>AOC</t>
        </is>
      </c>
      <c r="Q119" t="inlineStr">
        <is>
          <t>Global Coal Ventures Private Limited, Taranjot Resources Private Limited</t>
        </is>
      </c>
      <c r="R119" t="inlineStr">
        <is>
          <t>Mohit Minerals</t>
        </is>
      </c>
      <c r="S119" t="inlineStr">
        <is>
          <t>5 named / 6</t>
        </is>
      </c>
      <c r="T119" t="n">
        <v>94.73</v>
      </c>
      <c r="U119" s="6">
        <f>IF(ISNUMBER(G119),MAX(MAX(G119,Settings!$B$13)*Settings!$B$7*Settings!$B$5,IF(ISNUMBER(Settings!$B$12),Settings!$B$12,0))*(1+IF(Settings!$B$11="Y",0,Settings!$B$10/100))+N(Settings!$B$9),"")</f>
        <v/>
      </c>
      <c r="W119" s="6">
        <f>IF(ISNUMBER(V119),IF(V119*Settings!$B$8&gt;1000,"beyond table",IFERROR(LOOKUP(V119*Settings!$B$8,'FOIS 145A'!$A$2:$A$22,'FOIS 145A'!$C$2:$C$22)*(1+IF(Settings!$B$11="Y",0,Settings!$B$10/100)),"")),"")</f>
        <v/>
      </c>
      <c r="X119" s="6">
        <f>IF(AND(ISNUMBER(U119),ISNUMBER(W119)),U119+W119,"")</f>
        <v/>
      </c>
      <c r="Y119">
        <f>Settings!$B$6</f>
        <v/>
      </c>
    </row>
    <row r="120">
      <c r="A120" t="inlineStr">
        <is>
          <t>No</t>
        </is>
      </c>
      <c r="B120" t="inlineStr">
        <is>
          <t>plant = tender city in Bihar; named mine/plant is far</t>
        </is>
      </c>
      <c r="C120" t="inlineStr"/>
      <c r="E120" t="inlineStr"/>
      <c r="H120" t="inlineStr">
        <is>
          <t>12438518</t>
        </is>
      </c>
      <c r="I120" t="inlineStr">
        <is>
          <t>GEM/2024/B/5652386</t>
        </is>
      </c>
      <c r="J120" t="inlineStr">
        <is>
          <t>domestic coal for ntpc</t>
        </is>
      </c>
      <c r="K120" t="inlineStr">
        <is>
          <t>Coal supply</t>
        </is>
      </c>
      <c r="L120" t="inlineStr">
        <is>
          <t>National Thermal Power Corporation Limited</t>
        </is>
      </c>
      <c r="M120" t="inlineStr">
        <is>
          <t>Bihar</t>
        </is>
      </c>
      <c r="N120" t="inlineStr">
        <is>
          <t>Muzaffarpur</t>
        </is>
      </c>
      <c r="O120" s="5" t="n">
        <v>45678</v>
      </c>
      <c r="P120" t="inlineStr">
        <is>
          <t>AOC</t>
        </is>
      </c>
      <c r="Q120" t="inlineStr">
        <is>
          <t>Mahavir Coal Resources Private Limited</t>
        </is>
      </c>
      <c r="R120" t="inlineStr">
        <is>
          <t>Godavari Commodities, Mohit Minerals, Sangita Sales</t>
        </is>
      </c>
      <c r="S120" t="inlineStr">
        <is>
          <t>5 named / 8</t>
        </is>
      </c>
      <c r="T120" t="n">
        <v>252</v>
      </c>
      <c r="U120" s="6">
        <f>IF(ISNUMBER(G120),MAX(MAX(G120,Settings!$B$13)*Settings!$B$7*Settings!$B$5,IF(ISNUMBER(Settings!$B$12),Settings!$B$12,0))*(1+IF(Settings!$B$11="Y",0,Settings!$B$10/100))+N(Settings!$B$9),"")</f>
        <v/>
      </c>
      <c r="W120" s="6">
        <f>IF(ISNUMBER(V120),IF(V120*Settings!$B$8&gt;1000,"beyond table",IFERROR(LOOKUP(V120*Settings!$B$8,'FOIS 145A'!$A$2:$A$22,'FOIS 145A'!$C$2:$C$22)*(1+IF(Settings!$B$11="Y",0,Settings!$B$10/100)),"")),"")</f>
        <v/>
      </c>
      <c r="X120" s="6">
        <f>IF(AND(ISNUMBER(U120),ISNUMBER(W120)),U120+W120,"")</f>
        <v/>
      </c>
      <c r="Y120">
        <f>Settings!$B$6</f>
        <v/>
      </c>
    </row>
    <row r="121">
      <c r="A121" t="inlineStr">
        <is>
          <t>No</t>
        </is>
      </c>
      <c r="B121" t="inlineStr">
        <is>
          <t>plant = tender city in Uttar Pradesh; named mine/plant is far</t>
        </is>
      </c>
      <c r="C121" t="inlineStr"/>
      <c r="E121" t="inlineStr"/>
      <c r="H121" t="inlineStr">
        <is>
          <t>12438565</t>
        </is>
      </c>
      <c r="I121" t="inlineStr">
        <is>
          <t>GEM/2024/B/5652546</t>
        </is>
      </c>
      <c r="J121" t="inlineStr">
        <is>
          <t>domestic coal for ntpc</t>
        </is>
      </c>
      <c r="K121" t="inlineStr">
        <is>
          <t>Coal supply</t>
        </is>
      </c>
      <c r="L121" t="inlineStr">
        <is>
          <t>National Thermal Power Corporation Limited</t>
        </is>
      </c>
      <c r="M121" t="inlineStr">
        <is>
          <t>Uttar Pradesh</t>
        </is>
      </c>
      <c r="N121" t="inlineStr">
        <is>
          <t>Bareilly</t>
        </is>
      </c>
      <c r="O121" s="5" t="n">
        <v>45678</v>
      </c>
      <c r="P121" t="inlineStr">
        <is>
          <t>AOC</t>
        </is>
      </c>
      <c r="Q121" t="inlineStr">
        <is>
          <t>Indermani Mineral India Private Limited</t>
        </is>
      </c>
      <c r="R121" t="inlineStr">
        <is>
          <t>Godavari Commodities, Indermani / Indramani, Mohit Minerals, Sangita Sales</t>
        </is>
      </c>
      <c r="S121" t="inlineStr">
        <is>
          <t>5 named / 8</t>
        </is>
      </c>
      <c r="T121" t="n">
        <v>235</v>
      </c>
      <c r="U121" s="6">
        <f>IF(ISNUMBER(G121),MAX(MAX(G121,Settings!$B$13)*Settings!$B$7*Settings!$B$5,IF(ISNUMBER(Settings!$B$12),Settings!$B$12,0))*(1+IF(Settings!$B$11="Y",0,Settings!$B$10/100))+N(Settings!$B$9),"")</f>
        <v/>
      </c>
      <c r="W121" s="6">
        <f>IF(ISNUMBER(V121),IF(V121*Settings!$B$8&gt;1000,"beyond table",IFERROR(LOOKUP(V121*Settings!$B$8,'FOIS 145A'!$A$2:$A$22,'FOIS 145A'!$C$2:$C$22)*(1+IF(Settings!$B$11="Y",0,Settings!$B$10/100)),"")),"")</f>
        <v/>
      </c>
      <c r="X121" s="6">
        <f>IF(AND(ISNUMBER(U121),ISNUMBER(W121)),U121+W121,"")</f>
        <v/>
      </c>
      <c r="Y121">
        <f>Settings!$B$6</f>
        <v/>
      </c>
    </row>
    <row r="122">
      <c r="A122" t="inlineStr">
        <is>
          <t>No</t>
        </is>
      </c>
      <c r="B122" t="inlineStr">
        <is>
          <t>plant = tender city in Uttar Pradesh; named mine/plant is far</t>
        </is>
      </c>
      <c r="C122" t="inlineStr"/>
      <c r="E122" t="inlineStr"/>
      <c r="H122" t="inlineStr">
        <is>
          <t>12439021</t>
        </is>
      </c>
      <c r="I122" t="inlineStr">
        <is>
          <t>GEM/2024/B/5652033</t>
        </is>
      </c>
      <c r="J122" t="inlineStr">
        <is>
          <t>domestic coal for ntpc</t>
        </is>
      </c>
      <c r="K122" t="inlineStr">
        <is>
          <t>Coal supply</t>
        </is>
      </c>
      <c r="L122" t="inlineStr">
        <is>
          <t>National Thermal Power Corporation Limited</t>
        </is>
      </c>
      <c r="M122" t="inlineStr">
        <is>
          <t>Uttar Pradesh</t>
        </is>
      </c>
      <c r="N122" t="inlineStr">
        <is>
          <t>Gautam Budhnagar</t>
        </is>
      </c>
      <c r="O122" s="5" t="n">
        <v>45678</v>
      </c>
      <c r="P122" t="inlineStr">
        <is>
          <t>AOC</t>
        </is>
      </c>
      <c r="Q122" t="inlineStr">
        <is>
          <t>Mohit Minerals Limited</t>
        </is>
      </c>
      <c r="R122" t="inlineStr">
        <is>
          <t>Godavari Commodities, Mohit Minerals, Sangita Sales, Sendoz Impex</t>
        </is>
      </c>
      <c r="S122" t="inlineStr">
        <is>
          <t>5 named / 7</t>
        </is>
      </c>
      <c r="T122" t="n">
        <v>291.05</v>
      </c>
      <c r="U122" s="6">
        <f>IF(ISNUMBER(G122),MAX(MAX(G122,Settings!$B$13)*Settings!$B$7*Settings!$B$5,IF(ISNUMBER(Settings!$B$12),Settings!$B$12,0))*(1+IF(Settings!$B$11="Y",0,Settings!$B$10/100))+N(Settings!$B$9),"")</f>
        <v/>
      </c>
      <c r="W122" s="6">
        <f>IF(ISNUMBER(V122),IF(V122*Settings!$B$8&gt;1000,"beyond table",IFERROR(LOOKUP(V122*Settings!$B$8,'FOIS 145A'!$A$2:$A$22,'FOIS 145A'!$C$2:$C$22)*(1+IF(Settings!$B$11="Y",0,Settings!$B$10/100)),"")),"")</f>
        <v/>
      </c>
      <c r="X122" s="6">
        <f>IF(AND(ISNUMBER(U122),ISNUMBER(W122)),U122+W122,"")</f>
        <v/>
      </c>
      <c r="Y122">
        <f>Settings!$B$6</f>
        <v/>
      </c>
    </row>
    <row r="123">
      <c r="A123" t="inlineStr">
        <is>
          <t>No</t>
        </is>
      </c>
      <c r="B123" t="inlineStr">
        <is>
          <t>named mine/plant is far</t>
        </is>
      </c>
      <c r="C123" t="inlineStr"/>
      <c r="E123" t="inlineStr"/>
      <c r="H123" t="inlineStr">
        <is>
          <t>18417798</t>
        </is>
      </c>
      <c r="I123" t="inlineStr">
        <is>
          <t>2026_NTPC_112311_1</t>
        </is>
      </c>
      <c r="J123" t="inlineStr">
        <is>
          <t>lifting, handling, transportation of 1,00,000mt coal from topa karmamines of kuju area of ccl to railway siding under rcr mode and loading in railway wagons for nstps nabinagar.</t>
        </is>
      </c>
      <c r="K123" t="inlineStr">
        <is>
          <t>Coal transport (RCR / siding)</t>
        </is>
      </c>
      <c r="L123" t="inlineStr">
        <is>
          <t>National Thermal Power Corporation Limited</t>
        </is>
      </c>
      <c r="M123" t="inlineStr">
        <is>
          <t>Bihar</t>
        </is>
      </c>
      <c r="N123" t="inlineStr">
        <is>
          <t>Nabinagar</t>
        </is>
      </c>
      <c r="O123" s="5" t="n">
        <v>46301</v>
      </c>
      <c r="P123" t="inlineStr">
        <is>
          <t>Technical</t>
        </is>
      </c>
      <c r="Q123" t="inlineStr">
        <is>
          <t>-</t>
        </is>
      </c>
      <c r="R123" t="inlineStr">
        <is>
          <t>Bharat Road Carrier, Godavari Commodities</t>
        </is>
      </c>
      <c r="S123" t="inlineStr">
        <is>
          <t>5 named / 15</t>
        </is>
      </c>
      <c r="U123" s="6">
        <f>IF(ISNUMBER(G123),MAX(MAX(G123,Settings!$B$13)*Settings!$B$7*Settings!$B$5,IF(ISNUMBER(Settings!$B$12),Settings!$B$12,0))*(1+IF(Settings!$B$11="Y",0,Settings!$B$10/100))+N(Settings!$B$9),"")</f>
        <v/>
      </c>
      <c r="W123" s="6">
        <f>IF(ISNUMBER(V123),IF(V123*Settings!$B$8&gt;1000,"beyond table",IFERROR(LOOKUP(V123*Settings!$B$8,'FOIS 145A'!$A$2:$A$22,'FOIS 145A'!$C$2:$C$22)*(1+IF(Settings!$B$11="Y",0,Settings!$B$10/100)),"")),"")</f>
        <v/>
      </c>
      <c r="X123" s="6">
        <f>IF(AND(ISNUMBER(U123),ISNUMBER(W123)),U123+W123,"")</f>
        <v/>
      </c>
      <c r="Y123">
        <f>Settings!$B$6</f>
        <v/>
      </c>
    </row>
    <row r="124">
      <c r="A124" t="inlineStr">
        <is>
          <t>No</t>
        </is>
      </c>
      <c r="B124" t="inlineStr">
        <is>
          <t>named mine/plant is far</t>
        </is>
      </c>
      <c r="C124" t="inlineStr"/>
      <c r="E124" t="inlineStr"/>
      <c r="H124" t="inlineStr">
        <is>
          <t>18335538</t>
        </is>
      </c>
      <c r="I124" t="inlineStr">
        <is>
          <t>2026_NTPC_112148_1</t>
        </is>
      </c>
      <c r="J124" t="inlineStr">
        <is>
          <t>loading and transportation of 75000 mt coal from akk mines of ccl to nearby siding and unloading (nearby designated siding as per railways) and further loading in railway wagons under rcr mode to ntpc</t>
        </is>
      </c>
      <c r="K124" t="inlineStr">
        <is>
          <t>Coal transport (RCR / siding)</t>
        </is>
      </c>
      <c r="L124" t="inlineStr">
        <is>
          <t>National Thermal Power Corporation Limited</t>
        </is>
      </c>
      <c r="M124" t="inlineStr">
        <is>
          <t>Bihar</t>
        </is>
      </c>
      <c r="N124" t="inlineStr">
        <is>
          <t>Patna</t>
        </is>
      </c>
      <c r="O124" s="5" t="n">
        <v>46294</v>
      </c>
      <c r="P124" t="inlineStr">
        <is>
          <t>Financial</t>
        </is>
      </c>
      <c r="Q124" t="inlineStr">
        <is>
          <t>-</t>
        </is>
      </c>
      <c r="R124" t="inlineStr"/>
      <c r="S124" t="inlineStr">
        <is>
          <t>5 named / 17</t>
        </is>
      </c>
      <c r="U124" s="6">
        <f>IF(ISNUMBER(G124),MAX(MAX(G124,Settings!$B$13)*Settings!$B$7*Settings!$B$5,IF(ISNUMBER(Settings!$B$12),Settings!$B$12,0))*(1+IF(Settings!$B$11="Y",0,Settings!$B$10/100))+N(Settings!$B$9),"")</f>
        <v/>
      </c>
      <c r="W124" s="6">
        <f>IF(ISNUMBER(V124),IF(V124*Settings!$B$8&gt;1000,"beyond table",IFERROR(LOOKUP(V124*Settings!$B$8,'FOIS 145A'!$A$2:$A$22,'FOIS 145A'!$C$2:$C$22)*(1+IF(Settings!$B$11="Y",0,Settings!$B$10/100)),"")),"")</f>
        <v/>
      </c>
      <c r="X124" s="6">
        <f>IF(AND(ISNUMBER(U124),ISNUMBER(W124)),U124+W124,"")</f>
        <v/>
      </c>
      <c r="Y124">
        <f>Settings!$B$6</f>
        <v/>
      </c>
    </row>
    <row r="125">
      <c r="A125" t="inlineStr">
        <is>
          <t>No</t>
        </is>
      </c>
      <c r="B125" t="inlineStr">
        <is>
          <t>named mine/plant is far</t>
        </is>
      </c>
      <c r="C125" t="inlineStr"/>
      <c r="E125" t="inlineStr"/>
      <c r="H125" t="inlineStr">
        <is>
          <t>18334843</t>
        </is>
      </c>
      <c r="I125" t="inlineStr">
        <is>
          <t>2026_NTPC_112165_1</t>
        </is>
      </c>
      <c r="J125" t="inlineStr">
        <is>
          <t>lifting, handling, transportation of 80,000mt coal from ena and gondudihmines of kusunda area of bccl to railway siding under rcr mode and loading in railway wagons for nstps nabinagar.</t>
        </is>
      </c>
      <c r="K125" t="inlineStr">
        <is>
          <t>Coal transport (RCR / siding)</t>
        </is>
      </c>
      <c r="L125" t="inlineStr">
        <is>
          <t>National Thermal Power Corporation Limited</t>
        </is>
      </c>
      <c r="M125" t="inlineStr">
        <is>
          <t>Bihar</t>
        </is>
      </c>
      <c r="N125" t="inlineStr">
        <is>
          <t>Nabinagar</t>
        </is>
      </c>
      <c r="O125" s="5" t="n">
        <v>46294</v>
      </c>
      <c r="P125" t="inlineStr">
        <is>
          <t>AOC</t>
        </is>
      </c>
      <c r="Q125" t="inlineStr">
        <is>
          <t>Chhattisgarh Maharashtra Carrier</t>
        </is>
      </c>
      <c r="R125" t="inlineStr">
        <is>
          <t>Godavari Commodities</t>
        </is>
      </c>
      <c r="S125" t="inlineStr">
        <is>
          <t>5 named / 15</t>
        </is>
      </c>
      <c r="T125" t="n">
        <v>0.51</v>
      </c>
      <c r="U125" s="6">
        <f>IF(ISNUMBER(G125),MAX(MAX(G125,Settings!$B$13)*Settings!$B$7*Settings!$B$5,IF(ISNUMBER(Settings!$B$12),Settings!$B$12,0))*(1+IF(Settings!$B$11="Y",0,Settings!$B$10/100))+N(Settings!$B$9),"")</f>
        <v/>
      </c>
      <c r="W125" s="6">
        <f>IF(ISNUMBER(V125),IF(V125*Settings!$B$8&gt;1000,"beyond table",IFERROR(LOOKUP(V125*Settings!$B$8,'FOIS 145A'!$A$2:$A$22,'FOIS 145A'!$C$2:$C$22)*(1+IF(Settings!$B$11="Y",0,Settings!$B$10/100)),"")),"")</f>
        <v/>
      </c>
      <c r="X125" s="6">
        <f>IF(AND(ISNUMBER(U125),ISNUMBER(W125)),U125+W125,"")</f>
        <v/>
      </c>
      <c r="Y125">
        <f>Settings!$B$6</f>
        <v/>
      </c>
    </row>
    <row r="126">
      <c r="A126" t="inlineStr">
        <is>
          <t>No</t>
        </is>
      </c>
      <c r="B126" t="inlineStr">
        <is>
          <t>named mine/plant is far</t>
        </is>
      </c>
      <c r="C126" t="inlineStr"/>
      <c r="E126" t="inlineStr"/>
      <c r="H126" t="inlineStr">
        <is>
          <t>18318696</t>
        </is>
      </c>
      <c r="I126" t="inlineStr">
        <is>
          <t>2026_NTPC_112091_1</t>
        </is>
      </c>
      <c r="J126" t="inlineStr">
        <is>
          <t>coal transportation from bccl sijua mine to ntpc unchahar through rcr - coal transportation from bccl sijua mine to ntpc unchahar through rcrmode</t>
        </is>
      </c>
      <c r="K126" t="inlineStr">
        <is>
          <t>Coal transport (RCR / siding)</t>
        </is>
      </c>
      <c r="L126" t="inlineStr">
        <is>
          <t>National Thermal Power Corporation Limited</t>
        </is>
      </c>
      <c r="M126" t="inlineStr">
        <is>
          <t>Chhattisgarh</t>
        </is>
      </c>
      <c r="N126" t="inlineStr">
        <is>
          <t>Raipur</t>
        </is>
      </c>
      <c r="O126" s="5" t="n">
        <v>46291</v>
      </c>
      <c r="P126" t="inlineStr">
        <is>
          <t>AOC</t>
        </is>
      </c>
      <c r="Q126" t="inlineStr">
        <is>
          <t>Swami Fuels Private Limited</t>
        </is>
      </c>
      <c r="R126" t="inlineStr">
        <is>
          <t>Bharat Road Carrier, Godavari Commodities, Mohit Minerals</t>
        </is>
      </c>
      <c r="S126" t="inlineStr">
        <is>
          <t>5 named / 14</t>
        </is>
      </c>
      <c r="T126" t="n">
        <v>3.87</v>
      </c>
      <c r="U126" s="6">
        <f>IF(ISNUMBER(G126),MAX(MAX(G126,Settings!$B$13)*Settings!$B$7*Settings!$B$5,IF(ISNUMBER(Settings!$B$12),Settings!$B$12,0))*(1+IF(Settings!$B$11="Y",0,Settings!$B$10/100))+N(Settings!$B$9),"")</f>
        <v/>
      </c>
      <c r="W126" s="6">
        <f>IF(ISNUMBER(V126),IF(V126*Settings!$B$8&gt;1000,"beyond table",IFERROR(LOOKUP(V126*Settings!$B$8,'FOIS 145A'!$A$2:$A$22,'FOIS 145A'!$C$2:$C$22)*(1+IF(Settings!$B$11="Y",0,Settings!$B$10/100)),"")),"")</f>
        <v/>
      </c>
      <c r="X126" s="6">
        <f>IF(AND(ISNUMBER(U126),ISNUMBER(W126)),U126+W126,"")</f>
        <v/>
      </c>
      <c r="Y126">
        <f>Settings!$B$6</f>
        <v/>
      </c>
    </row>
    <row r="127">
      <c r="A127" t="inlineStr">
        <is>
          <t>No</t>
        </is>
      </c>
      <c r="B127" t="inlineStr">
        <is>
          <t>named mine/plant is far</t>
        </is>
      </c>
      <c r="C127" t="inlineStr"/>
      <c r="E127" t="inlineStr"/>
      <c r="H127" t="inlineStr">
        <is>
          <t>18308879</t>
        </is>
      </c>
      <c r="I127" t="inlineStr">
        <is>
          <t>2026_NTPC_112064_1</t>
        </is>
      </c>
      <c r="J127" t="inlineStr">
        <is>
          <t>contract for transportation of coal from akk and karo mines of b and k area of central coalfields ltd (ccl) to ntpc nabinagar under road cum-rail (rcr) mode - as per sow</t>
        </is>
      </c>
      <c r="K127" t="inlineStr">
        <is>
          <t>Coal transport (RCR / siding)</t>
        </is>
      </c>
      <c r="L127" t="inlineStr">
        <is>
          <t>National Thermal Power Corporation Limited</t>
        </is>
      </c>
      <c r="M127" t="inlineStr">
        <is>
          <t>Chhattisgarh</t>
        </is>
      </c>
      <c r="N127" t="inlineStr">
        <is>
          <t>Raipur</t>
        </is>
      </c>
      <c r="O127" s="5" t="n">
        <v>46290</v>
      </c>
      <c r="P127" t="inlineStr">
        <is>
          <t>AOC</t>
        </is>
      </c>
      <c r="Q127" t="inlineStr">
        <is>
          <t>Swami Fuels Private Limited</t>
        </is>
      </c>
      <c r="R127" t="inlineStr">
        <is>
          <t>Bharat Road Carrier, Godavari Commodities</t>
        </is>
      </c>
      <c r="S127" t="inlineStr">
        <is>
          <t>5 named / 12</t>
        </is>
      </c>
      <c r="T127" t="n">
        <v>5.54</v>
      </c>
      <c r="U127" s="6">
        <f>IF(ISNUMBER(G127),MAX(MAX(G127,Settings!$B$13)*Settings!$B$7*Settings!$B$5,IF(ISNUMBER(Settings!$B$12),Settings!$B$12,0))*(1+IF(Settings!$B$11="Y",0,Settings!$B$10/100))+N(Settings!$B$9),"")</f>
        <v/>
      </c>
      <c r="W127" s="6">
        <f>IF(ISNUMBER(V127),IF(V127*Settings!$B$8&gt;1000,"beyond table",IFERROR(LOOKUP(V127*Settings!$B$8,'FOIS 145A'!$A$2:$A$22,'FOIS 145A'!$C$2:$C$22)*(1+IF(Settings!$B$11="Y",0,Settings!$B$10/100)),"")),"")</f>
        <v/>
      </c>
      <c r="X127" s="6">
        <f>IF(AND(ISNUMBER(U127),ISNUMBER(W127)),U127+W127,"")</f>
        <v/>
      </c>
      <c r="Y127">
        <f>Settings!$B$6</f>
        <v/>
      </c>
    </row>
    <row r="128">
      <c r="A128" t="inlineStr">
        <is>
          <t>No</t>
        </is>
      </c>
      <c r="B128" t="inlineStr">
        <is>
          <t>named mine/plant is far</t>
        </is>
      </c>
      <c r="C128" t="inlineStr"/>
      <c r="E128" t="inlineStr"/>
      <c r="H128" t="inlineStr">
        <is>
          <t>18306347</t>
        </is>
      </c>
      <c r="I128" t="inlineStr">
        <is>
          <t>2026_NTPC_112047_1</t>
        </is>
      </c>
      <c r="J128" t="inlineStr">
        <is>
          <t>contract for transportation of coal by road from salanpur area to ntpc unchahar through rcr mode - as per sow</t>
        </is>
      </c>
      <c r="K128" t="inlineStr">
        <is>
          <t>Coal transport (RCR / siding)</t>
        </is>
      </c>
      <c r="L128" t="inlineStr">
        <is>
          <t>National Thermal Power Corporation Limited</t>
        </is>
      </c>
      <c r="M128" t="inlineStr">
        <is>
          <t>Chhattisgarh</t>
        </is>
      </c>
      <c r="N128" t="inlineStr">
        <is>
          <t>Raipur</t>
        </is>
      </c>
      <c r="O128" s="5" t="n">
        <v>46290</v>
      </c>
      <c r="P128" t="inlineStr">
        <is>
          <t>Financial</t>
        </is>
      </c>
      <c r="Q128" t="inlineStr">
        <is>
          <t>-</t>
        </is>
      </c>
      <c r="R128" t="inlineStr">
        <is>
          <t>Bharat Road Carrier, Godavari Commodities, Nkas Services, Sangita Sales</t>
        </is>
      </c>
      <c r="S128" t="inlineStr">
        <is>
          <t>5 named / 8</t>
        </is>
      </c>
      <c r="U128" s="6">
        <f>IF(ISNUMBER(G128),MAX(MAX(G128,Settings!$B$13)*Settings!$B$7*Settings!$B$5,IF(ISNUMBER(Settings!$B$12),Settings!$B$12,0))*(1+IF(Settings!$B$11="Y",0,Settings!$B$10/100))+N(Settings!$B$9),"")</f>
        <v/>
      </c>
      <c r="W128" s="6">
        <f>IF(ISNUMBER(V128),IF(V128*Settings!$B$8&gt;1000,"beyond table",IFERROR(LOOKUP(V128*Settings!$B$8,'FOIS 145A'!$A$2:$A$22,'FOIS 145A'!$C$2:$C$22)*(1+IF(Settings!$B$11="Y",0,Settings!$B$10/100)),"")),"")</f>
        <v/>
      </c>
      <c r="X128" s="6">
        <f>IF(AND(ISNUMBER(U128),ISNUMBER(W128)),U128+W128,"")</f>
        <v/>
      </c>
      <c r="Y128">
        <f>Settings!$B$6</f>
        <v/>
      </c>
    </row>
    <row r="129">
      <c r="A129" t="inlineStr">
        <is>
          <t>No</t>
        </is>
      </c>
      <c r="B129" t="inlineStr">
        <is>
          <t>named mine/plant is far</t>
        </is>
      </c>
      <c r="C129" t="inlineStr"/>
      <c r="E129" t="inlineStr"/>
      <c r="H129" t="inlineStr">
        <is>
          <t>18314234</t>
        </is>
      </c>
      <c r="I129" t="inlineStr">
        <is>
          <t>2026_NTPC_112042_1</t>
        </is>
      </c>
      <c r="J129" t="inlineStr">
        <is>
          <t>transportation of coal by road from ukni deep mines of western - transportation of coal by road from ukni deep mines of westerncoalfields ltd(wcl) to ntpc kudgi under road cum-rail(rcr) mode</t>
        </is>
      </c>
      <c r="K129" t="inlineStr">
        <is>
          <t>Coal transport (RCR / siding)</t>
        </is>
      </c>
      <c r="L129" t="inlineStr">
        <is>
          <t>National Thermal Power Corporation Limited</t>
        </is>
      </c>
      <c r="M129" t="inlineStr">
        <is>
          <t>Chhattisgarh</t>
        </is>
      </c>
      <c r="N129" t="inlineStr">
        <is>
          <t>Raipur</t>
        </is>
      </c>
      <c r="O129" s="5" t="n">
        <v>46290</v>
      </c>
      <c r="P129" t="inlineStr">
        <is>
          <t>AOC</t>
        </is>
      </c>
      <c r="Q129" t="inlineStr">
        <is>
          <t>Swami Fuels Private Limited</t>
        </is>
      </c>
      <c r="R129" t="inlineStr">
        <is>
          <t>Bharat Road Carrier, Godavari Commodities</t>
        </is>
      </c>
      <c r="S129" t="inlineStr">
        <is>
          <t>5 named / 16</t>
        </is>
      </c>
      <c r="T129" t="n">
        <v>1.89</v>
      </c>
      <c r="U129" s="6">
        <f>IF(ISNUMBER(G129),MAX(MAX(G129,Settings!$B$13)*Settings!$B$7*Settings!$B$5,IF(ISNUMBER(Settings!$B$12),Settings!$B$12,0))*(1+IF(Settings!$B$11="Y",0,Settings!$B$10/100))+N(Settings!$B$9),"")</f>
        <v/>
      </c>
      <c r="W129" s="6">
        <f>IF(ISNUMBER(V129),IF(V129*Settings!$B$8&gt;1000,"beyond table",IFERROR(LOOKUP(V129*Settings!$B$8,'FOIS 145A'!$A$2:$A$22,'FOIS 145A'!$C$2:$C$22)*(1+IF(Settings!$B$11="Y",0,Settings!$B$10/100)),"")),"")</f>
        <v/>
      </c>
      <c r="X129" s="6">
        <f>IF(AND(ISNUMBER(U129),ISNUMBER(W129)),U129+W129,"")</f>
        <v/>
      </c>
      <c r="Y129">
        <f>Settings!$B$6</f>
        <v/>
      </c>
    </row>
    <row r="130">
      <c r="A130" t="inlineStr">
        <is>
          <t>No</t>
        </is>
      </c>
      <c r="B130" t="inlineStr">
        <is>
          <t>named mine/plant is far</t>
        </is>
      </c>
      <c r="C130" t="inlineStr"/>
      <c r="E130" t="inlineStr"/>
      <c r="H130" t="inlineStr">
        <is>
          <t>18445394</t>
        </is>
      </c>
      <c r="I130" t="inlineStr">
        <is>
          <t>GEM/2026/B/8001162</t>
        </is>
      </c>
      <c r="J130" t="inlineStr">
        <is>
          <t>handling &amp; transport service, loading and transportation of coal of from surface coal stockyards of amrapali ocp to shivpur siding, line no.- 1, by suitably covered contractor’..</t>
        </is>
      </c>
      <c r="K130" t="inlineStr">
        <is>
          <t>Coal transport (RCR / siding)</t>
        </is>
      </c>
      <c r="L130" t="inlineStr">
        <is>
          <t>Central Coalfields Limited</t>
        </is>
      </c>
      <c r="M130" t="inlineStr">
        <is>
          <t>Jharkhand</t>
        </is>
      </c>
      <c r="N130" t="inlineStr">
        <is>
          <t>Ranchi</t>
        </is>
      </c>
      <c r="O130" s="5" t="n">
        <v>46286</v>
      </c>
      <c r="P130" t="inlineStr">
        <is>
          <t>Financial</t>
        </is>
      </c>
      <c r="Q130" t="inlineStr">
        <is>
          <t>-</t>
        </is>
      </c>
      <c r="R130" t="inlineStr"/>
      <c r="S130" t="inlineStr">
        <is>
          <t>4 named / 4</t>
        </is>
      </c>
      <c r="U130" s="6">
        <f>IF(ISNUMBER(G130),MAX(MAX(G130,Settings!$B$13)*Settings!$B$7*Settings!$B$5,IF(ISNUMBER(Settings!$B$12),Settings!$B$12,0))*(1+IF(Settings!$B$11="Y",0,Settings!$B$10/100))+N(Settings!$B$9),"")</f>
        <v/>
      </c>
      <c r="W130" s="6">
        <f>IF(ISNUMBER(V130),IF(V130*Settings!$B$8&gt;1000,"beyond table",IFERROR(LOOKUP(V130*Settings!$B$8,'FOIS 145A'!$A$2:$A$22,'FOIS 145A'!$C$2:$C$22)*(1+IF(Settings!$B$11="Y",0,Settings!$B$10/100)),"")),"")</f>
        <v/>
      </c>
      <c r="X130" s="6">
        <f>IF(AND(ISNUMBER(U130),ISNUMBER(W130)),U130+W130,"")</f>
        <v/>
      </c>
      <c r="Y130">
        <f>Settings!$B$6</f>
        <v/>
      </c>
    </row>
    <row r="131">
      <c r="A131" t="inlineStr">
        <is>
          <t>No</t>
        </is>
      </c>
      <c r="B131" t="inlineStr">
        <is>
          <t>named mine/plant is far</t>
        </is>
      </c>
      <c r="C131" t="inlineStr"/>
      <c r="E131" t="inlineStr"/>
      <c r="H131" t="inlineStr">
        <is>
          <t>18249396</t>
        </is>
      </c>
      <c r="I131" t="inlineStr">
        <is>
          <t>2026_BRBCL_111849_1</t>
        </is>
      </c>
      <c r="J131" t="inlineStr">
        <is>
          <t>handling and transportation of coal through rcr mode from amrapali and chandragupta mines to brbcl</t>
        </is>
      </c>
      <c r="K131" t="inlineStr">
        <is>
          <t>Coal transport (RCR / siding)</t>
        </is>
      </c>
      <c r="L131" t="inlineStr">
        <is>
          <t>Bhartiya Rail Bijlee Company Limited</t>
        </is>
      </c>
      <c r="M131" t="inlineStr">
        <is>
          <t>Bihar</t>
        </is>
      </c>
      <c r="N131" t="inlineStr">
        <is>
          <t>Nabinagar</t>
        </is>
      </c>
      <c r="O131" s="5" t="n">
        <v>46283</v>
      </c>
      <c r="P131" t="inlineStr">
        <is>
          <t>Technical</t>
        </is>
      </c>
      <c r="Q131" t="inlineStr">
        <is>
          <t>-</t>
        </is>
      </c>
      <c r="R131" t="inlineStr">
        <is>
          <t>Nkas Services</t>
        </is>
      </c>
      <c r="S131" t="inlineStr">
        <is>
          <t>4 named / 4</t>
        </is>
      </c>
      <c r="U131" s="6">
        <f>IF(ISNUMBER(G131),MAX(MAX(G131,Settings!$B$13)*Settings!$B$7*Settings!$B$5,IF(ISNUMBER(Settings!$B$12),Settings!$B$12,0))*(1+IF(Settings!$B$11="Y",0,Settings!$B$10/100))+N(Settings!$B$9),"")</f>
        <v/>
      </c>
      <c r="W131" s="6">
        <f>IF(ISNUMBER(V131),IF(V131*Settings!$B$8&gt;1000,"beyond table",IFERROR(LOOKUP(V131*Settings!$B$8,'FOIS 145A'!$A$2:$A$22,'FOIS 145A'!$C$2:$C$22)*(1+IF(Settings!$B$11="Y",0,Settings!$B$10/100)),"")),"")</f>
        <v/>
      </c>
      <c r="X131" s="6">
        <f>IF(AND(ISNUMBER(U131),ISNUMBER(W131)),U131+W131,"")</f>
        <v/>
      </c>
      <c r="Y131">
        <f>Settings!$B$6</f>
        <v/>
      </c>
    </row>
    <row r="132">
      <c r="A132" t="inlineStr">
        <is>
          <t>No</t>
        </is>
      </c>
      <c r="B132" t="inlineStr">
        <is>
          <t>plant = tender city in Bihar; named mine/plant is far</t>
        </is>
      </c>
      <c r="C132" t="inlineStr"/>
      <c r="E132" t="inlineStr"/>
      <c r="H132" t="inlineStr">
        <is>
          <t>18208940</t>
        </is>
      </c>
      <c r="I132" t="inlineStr">
        <is>
          <t>2026_NTPC_111867_1</t>
        </is>
      </c>
      <c r="J132" t="inlineStr">
        <is>
          <t>loading and transportation of 32000mt coal from chandragupta area of ccl - loading and transportation of 32000mt coal from chandragupta area of ccl to nearby siding under rcr mode.</t>
        </is>
      </c>
      <c r="K132" t="inlineStr">
        <is>
          <t>Coal transport (RCR / siding)</t>
        </is>
      </c>
      <c r="L132" t="inlineStr">
        <is>
          <t>National Thermal Power Corporation Limited</t>
        </is>
      </c>
      <c r="M132" t="inlineStr">
        <is>
          <t>Bihar</t>
        </is>
      </c>
      <c r="N132" t="inlineStr">
        <is>
          <t>Patna</t>
        </is>
      </c>
      <c r="O132" s="5" t="n">
        <v>46279</v>
      </c>
      <c r="P132" t="inlineStr">
        <is>
          <t>Financial</t>
        </is>
      </c>
      <c r="Q132" t="inlineStr">
        <is>
          <t>-</t>
        </is>
      </c>
      <c r="R132" t="inlineStr">
        <is>
          <t>Godavari Commodities</t>
        </is>
      </c>
      <c r="S132" t="inlineStr">
        <is>
          <t>1 named / 1</t>
        </is>
      </c>
      <c r="U132" s="6">
        <f>IF(ISNUMBER(G132),MAX(MAX(G132,Settings!$B$13)*Settings!$B$7*Settings!$B$5,IF(ISNUMBER(Settings!$B$12),Settings!$B$12,0))*(1+IF(Settings!$B$11="Y",0,Settings!$B$10/100))+N(Settings!$B$9),"")</f>
        <v/>
      </c>
      <c r="W132" s="6">
        <f>IF(ISNUMBER(V132),IF(V132*Settings!$B$8&gt;1000,"beyond table",IFERROR(LOOKUP(V132*Settings!$B$8,'FOIS 145A'!$A$2:$A$22,'FOIS 145A'!$C$2:$C$22)*(1+IF(Settings!$B$11="Y",0,Settings!$B$10/100)),"")),"")</f>
        <v/>
      </c>
      <c r="X132" s="6">
        <f>IF(AND(ISNUMBER(U132),ISNUMBER(W132)),U132+W132,"")</f>
        <v/>
      </c>
      <c r="Y132">
        <f>Settings!$B$6</f>
        <v/>
      </c>
    </row>
    <row r="133">
      <c r="A133" t="inlineStr">
        <is>
          <t>No</t>
        </is>
      </c>
      <c r="B133" t="inlineStr">
        <is>
          <t>plant = tender city in Uttar Pradesh; named mine/plant is far</t>
        </is>
      </c>
      <c r="C133" t="inlineStr"/>
      <c r="E133" t="inlineStr"/>
      <c r="H133" t="inlineStr">
        <is>
          <t>18192043</t>
        </is>
      </c>
      <c r="I133" t="inlineStr">
        <is>
          <t>2026_NTPC_111830_1</t>
        </is>
      </c>
      <c r="J133" t="inlineStr">
        <is>
          <t>transportation of coal, loading at mine end(jayant and other siding) and</t>
        </is>
      </c>
      <c r="K133" t="inlineStr">
        <is>
          <t>Coal transport (RCR / siding)</t>
        </is>
      </c>
      <c r="L133" t="inlineStr">
        <is>
          <t>National Thermal Power Corporation Limited</t>
        </is>
      </c>
      <c r="M133" t="inlineStr">
        <is>
          <t>Uttar Pradesh</t>
        </is>
      </c>
      <c r="N133" t="inlineStr">
        <is>
          <t>Mirzapur</t>
        </is>
      </c>
      <c r="O133" s="5" t="n">
        <v>46279</v>
      </c>
      <c r="P133" t="inlineStr">
        <is>
          <t>Financial</t>
        </is>
      </c>
      <c r="Q133" t="inlineStr">
        <is>
          <t>-</t>
        </is>
      </c>
      <c r="R133" t="inlineStr"/>
      <c r="S133" t="inlineStr">
        <is>
          <t>1 named / 1</t>
        </is>
      </c>
      <c r="U133" s="6">
        <f>IF(ISNUMBER(G133),MAX(MAX(G133,Settings!$B$13)*Settings!$B$7*Settings!$B$5,IF(ISNUMBER(Settings!$B$12),Settings!$B$12,0))*(1+IF(Settings!$B$11="Y",0,Settings!$B$10/100))+N(Settings!$B$9),"")</f>
        <v/>
      </c>
      <c r="W133" s="6">
        <f>IF(ISNUMBER(V133),IF(V133*Settings!$B$8&gt;1000,"beyond table",IFERROR(LOOKUP(V133*Settings!$B$8,'FOIS 145A'!$A$2:$A$22,'FOIS 145A'!$C$2:$C$22)*(1+IF(Settings!$B$11="Y",0,Settings!$B$10/100)),"")),"")</f>
        <v/>
      </c>
      <c r="X133" s="6">
        <f>IF(AND(ISNUMBER(U133),ISNUMBER(W133)),U133+W133,"")</f>
        <v/>
      </c>
      <c r="Y133">
        <f>Settings!$B$6</f>
        <v/>
      </c>
    </row>
    <row r="134">
      <c r="A134" t="inlineStr">
        <is>
          <t>No</t>
        </is>
      </c>
      <c r="B134" t="inlineStr">
        <is>
          <t>mine = coal company's tender in Jharkhand; named mine/plant is far</t>
        </is>
      </c>
      <c r="C134" t="inlineStr"/>
      <c r="E134" t="inlineStr"/>
      <c r="H134" t="inlineStr">
        <is>
          <t>18387034</t>
        </is>
      </c>
      <c r="I134" t="inlineStr">
        <is>
          <t>GEM/2026/B/7910846</t>
        </is>
      </c>
      <c r="J134" t="inlineStr">
        <is>
          <t>handling &amp; transport service, loading of coal from surface coal stock yards of chandragupt ocp and transportation of the same to rajdhar railway siding, piparwar area for a per..</t>
        </is>
      </c>
      <c r="K134" t="inlineStr">
        <is>
          <t>Coal transport (RCR / siding)</t>
        </is>
      </c>
      <c r="L134" t="inlineStr">
        <is>
          <t>Central Coalfields Limited</t>
        </is>
      </c>
      <c r="M134" t="inlineStr">
        <is>
          <t>Jharkhand</t>
        </is>
      </c>
      <c r="N134" t="inlineStr">
        <is>
          <t>Ranchi</t>
        </is>
      </c>
      <c r="O134" s="5" t="n">
        <v>46261</v>
      </c>
      <c r="P134" t="inlineStr">
        <is>
          <t>Financial</t>
        </is>
      </c>
      <c r="Q134" t="inlineStr">
        <is>
          <t>-</t>
        </is>
      </c>
      <c r="R134" t="inlineStr"/>
      <c r="S134" t="inlineStr">
        <is>
          <t>5 named / 15</t>
        </is>
      </c>
      <c r="U134" s="6">
        <f>IF(ISNUMBER(G134),MAX(MAX(G134,Settings!$B$13)*Settings!$B$7*Settings!$B$5,IF(ISNUMBER(Settings!$B$12),Settings!$B$12,0))*(1+IF(Settings!$B$11="Y",0,Settings!$B$10/100))+N(Settings!$B$9),"")</f>
        <v/>
      </c>
      <c r="W134" s="6">
        <f>IF(ISNUMBER(V134),IF(V134*Settings!$B$8&gt;1000,"beyond table",IFERROR(LOOKUP(V134*Settings!$B$8,'FOIS 145A'!$A$2:$A$22,'FOIS 145A'!$C$2:$C$22)*(1+IF(Settings!$B$11="Y",0,Settings!$B$10/100)),"")),"")</f>
        <v/>
      </c>
      <c r="X134" s="6">
        <f>IF(AND(ISNUMBER(U134),ISNUMBER(W134)),U134+W134,"")</f>
        <v/>
      </c>
      <c r="Y134">
        <f>Settings!$B$6</f>
        <v/>
      </c>
    </row>
    <row r="135">
      <c r="A135" t="inlineStr">
        <is>
          <t>No</t>
        </is>
      </c>
      <c r="B135" t="inlineStr">
        <is>
          <t>plant = tender city in Madhya Pradesh; named mine/plant is far</t>
        </is>
      </c>
      <c r="C135" t="inlineStr"/>
      <c r="E135" t="inlineStr"/>
      <c r="H135" t="inlineStr">
        <is>
          <t>18098722</t>
        </is>
      </c>
      <c r="I135" t="inlineStr">
        <is>
          <t>2026_RRVUN_587211_1</t>
        </is>
      </c>
      <c r="J135" t="inlineStr">
        <is>
          <t>rate contract for taking delivery of raw coal from ncl collieries on behalf of rvun - rate contract for taking delivery of raw coal from ncl collieries on behalf of rvun, its transportation from mines</t>
        </is>
      </c>
      <c r="K135" t="inlineStr">
        <is>
          <t>Coal transport (RCR / siding)</t>
        </is>
      </c>
      <c r="L135" t="inlineStr">
        <is>
          <t>Rajasthan Rajya Vidhyut Utpadan Nigam Limited</t>
        </is>
      </c>
      <c r="M135" t="inlineStr">
        <is>
          <t>Madhya Pradesh</t>
        </is>
      </c>
      <c r="N135" t="inlineStr">
        <is>
          <t>Sidhi</t>
        </is>
      </c>
      <c r="O135" s="5" t="n">
        <v>46258</v>
      </c>
      <c r="P135" t="inlineStr">
        <is>
          <t>Technical</t>
        </is>
      </c>
      <c r="Q135" t="inlineStr">
        <is>
          <t>-</t>
        </is>
      </c>
      <c r="R135" t="inlineStr"/>
      <c r="S135" t="inlineStr">
        <is>
          <t>5 named / 7</t>
        </is>
      </c>
      <c r="U135" s="6">
        <f>IF(ISNUMBER(G135),MAX(MAX(G135,Settings!$B$13)*Settings!$B$7*Settings!$B$5,IF(ISNUMBER(Settings!$B$12),Settings!$B$12,0))*(1+IF(Settings!$B$11="Y",0,Settings!$B$10/100))+N(Settings!$B$9),"")</f>
        <v/>
      </c>
      <c r="W135" s="6">
        <f>IF(ISNUMBER(V135),IF(V135*Settings!$B$8&gt;1000,"beyond table",IFERROR(LOOKUP(V135*Settings!$B$8,'FOIS 145A'!$A$2:$A$22,'FOIS 145A'!$C$2:$C$22)*(1+IF(Settings!$B$11="Y",0,Settings!$B$10/100)),"")),"")</f>
        <v/>
      </c>
      <c r="X135" s="6">
        <f>IF(AND(ISNUMBER(U135),ISNUMBER(W135)),U135+W135,"")</f>
        <v/>
      </c>
      <c r="Y135">
        <f>Settings!$B$6</f>
        <v/>
      </c>
    </row>
    <row r="136">
      <c r="A136" t="inlineStr">
        <is>
          <t>No</t>
        </is>
      </c>
      <c r="B136" t="inlineStr">
        <is>
          <t>named mine/plant is far</t>
        </is>
      </c>
      <c r="C136" t="inlineStr"/>
      <c r="E136" t="inlineStr"/>
      <c r="H136" t="inlineStr">
        <is>
          <t>18193766</t>
        </is>
      </c>
      <c r="I136" t="inlineStr">
        <is>
          <t>GEM/2026/B/7820371</t>
        </is>
      </c>
      <c r="J136" t="inlineStr">
        <is>
          <t>handling &amp; transport service, loading and transportation of coal from surface coal stockyards of amrapali ocp to shivpur siding and loading of coal into railway wagons at shivpu..</t>
        </is>
      </c>
      <c r="K136" t="inlineStr">
        <is>
          <t>Coal transport (RCR / siding)</t>
        </is>
      </c>
      <c r="L136" t="inlineStr">
        <is>
          <t>Central Coalfields Limited</t>
        </is>
      </c>
      <c r="M136" t="inlineStr">
        <is>
          <t>Jharkhand</t>
        </is>
      </c>
      <c r="N136" t="inlineStr">
        <is>
          <t>Ranchi</t>
        </is>
      </c>
      <c r="O136" s="5" t="n">
        <v>46246</v>
      </c>
      <c r="P136" t="inlineStr">
        <is>
          <t>AOC</t>
        </is>
      </c>
      <c r="Q136" t="inlineStr">
        <is>
          <t>Jagshobha Logistics Llp</t>
        </is>
      </c>
      <c r="R136" t="inlineStr"/>
      <c r="S136" t="inlineStr">
        <is>
          <t>5 named / 8</t>
        </is>
      </c>
      <c r="T136" t="n">
        <v>2.8</v>
      </c>
      <c r="U136" s="6">
        <f>IF(ISNUMBER(G136),MAX(MAX(G136,Settings!$B$13)*Settings!$B$7*Settings!$B$5,IF(ISNUMBER(Settings!$B$12),Settings!$B$12,0))*(1+IF(Settings!$B$11="Y",0,Settings!$B$10/100))+N(Settings!$B$9),"")</f>
        <v/>
      </c>
      <c r="W136" s="6">
        <f>IF(ISNUMBER(V136),IF(V136*Settings!$B$8&gt;1000,"beyond table",IFERROR(LOOKUP(V136*Settings!$B$8,'FOIS 145A'!$A$2:$A$22,'FOIS 145A'!$C$2:$C$22)*(1+IF(Settings!$B$11="Y",0,Settings!$B$10/100)),"")),"")</f>
        <v/>
      </c>
      <c r="X136" s="6">
        <f>IF(AND(ISNUMBER(U136),ISNUMBER(W136)),U136+W136,"")</f>
        <v/>
      </c>
      <c r="Y136">
        <f>Settings!$B$6</f>
        <v/>
      </c>
    </row>
    <row r="137">
      <c r="A137" t="inlineStr">
        <is>
          <t>No</t>
        </is>
      </c>
      <c r="B137" t="inlineStr">
        <is>
          <t>mine = coal company's tender in Madhya Pradesh; named mine/plant is far</t>
        </is>
      </c>
      <c r="C137" t="inlineStr"/>
      <c r="E137" t="inlineStr"/>
      <c r="H137" t="inlineStr">
        <is>
          <t>18127157</t>
        </is>
      </c>
      <c r="I137" t="inlineStr">
        <is>
          <t>GEM/2026/B/7769325</t>
        </is>
      </c>
      <c r="J137" t="inlineStr">
        <is>
          <t>handling &amp; transport service, loading and transportation of coal from surface miner face to rls of khadia project</t>
        </is>
      </c>
      <c r="K137" t="inlineStr">
        <is>
          <t>Coal transport (RCR / siding)</t>
        </is>
      </c>
      <c r="L137" t="inlineStr">
        <is>
          <t>Northern Coalfields Limited</t>
        </is>
      </c>
      <c r="M137" t="inlineStr">
        <is>
          <t>Madhya Pradesh</t>
        </is>
      </c>
      <c r="N137" t="inlineStr">
        <is>
          <t>Sidhi</t>
        </is>
      </c>
      <c r="O137" s="5" t="n">
        <v>46234</v>
      </c>
      <c r="P137" t="inlineStr">
        <is>
          <t>AOC</t>
        </is>
      </c>
      <c r="Q137" t="inlineStr">
        <is>
          <t>Shanker Fuels Private Limited</t>
        </is>
      </c>
      <c r="R137" t="inlineStr"/>
      <c r="S137" t="inlineStr">
        <is>
          <t>5 named / 18</t>
        </is>
      </c>
      <c r="T137" t="n">
        <v>47.96</v>
      </c>
      <c r="U137" s="6">
        <f>IF(ISNUMBER(G137),MAX(MAX(G137,Settings!$B$13)*Settings!$B$7*Settings!$B$5,IF(ISNUMBER(Settings!$B$12),Settings!$B$12,0))*(1+IF(Settings!$B$11="Y",0,Settings!$B$10/100))+N(Settings!$B$9),"")</f>
        <v/>
      </c>
      <c r="W137" s="6">
        <f>IF(ISNUMBER(V137),IF(V137*Settings!$B$8&gt;1000,"beyond table",IFERROR(LOOKUP(V137*Settings!$B$8,'FOIS 145A'!$A$2:$A$22,'FOIS 145A'!$C$2:$C$22)*(1+IF(Settings!$B$11="Y",0,Settings!$B$10/100)),"")),"")</f>
        <v/>
      </c>
      <c r="X137" s="6">
        <f>IF(AND(ISNUMBER(U137),ISNUMBER(W137)),U137+W137,"")</f>
        <v/>
      </c>
      <c r="Y137">
        <f>Settings!$B$6</f>
        <v/>
      </c>
    </row>
    <row r="138">
      <c r="A138" t="inlineStr">
        <is>
          <t>No</t>
        </is>
      </c>
      <c r="B138" t="inlineStr">
        <is>
          <t>named mine/plant is far</t>
        </is>
      </c>
      <c r="C138" t="inlineStr"/>
      <c r="E138" t="inlineStr"/>
      <c r="H138" t="inlineStr">
        <is>
          <t>17916755</t>
        </is>
      </c>
      <c r="I138" t="inlineStr">
        <is>
          <t>GEM/2026/B/7794491</t>
        </is>
      </c>
      <c r="J138" t="inlineStr">
        <is>
          <t>appointment an agency for coal lifting and transportation of coal via road from ms nlc india limited (nlc) to railway sidings &amp; wagon loading at railway siding for onward transportation of coal to vsp</t>
        </is>
      </c>
      <c r="K138" t="inlineStr">
        <is>
          <t>Coal transport (RCR / siding)</t>
        </is>
      </c>
      <c r="L138" t="inlineStr">
        <is>
          <t>Rashtriya Ispat Nigam Limited</t>
        </is>
      </c>
      <c r="M138" t="inlineStr">
        <is>
          <t>Andhra Pradesh</t>
        </is>
      </c>
      <c r="N138" t="inlineStr">
        <is>
          <t>Visakhapatnam</t>
        </is>
      </c>
      <c r="O138" s="5" t="n">
        <v>46230</v>
      </c>
      <c r="P138" t="inlineStr">
        <is>
          <t>AOC</t>
        </is>
      </c>
      <c r="Q138" t="inlineStr">
        <is>
          <t>Maa Kalika Transport Private Limited</t>
        </is>
      </c>
      <c r="R138" t="inlineStr">
        <is>
          <t>Anoop Road Carriers</t>
        </is>
      </c>
      <c r="S138" t="inlineStr">
        <is>
          <t>3 named / 3</t>
        </is>
      </c>
      <c r="T138" t="n">
        <v>3.5</v>
      </c>
      <c r="U138" s="6">
        <f>IF(ISNUMBER(G138),MAX(MAX(G138,Settings!$B$13)*Settings!$B$7*Settings!$B$5,IF(ISNUMBER(Settings!$B$12),Settings!$B$12,0))*(1+IF(Settings!$B$11="Y",0,Settings!$B$10/100))+N(Settings!$B$9),"")</f>
        <v/>
      </c>
      <c r="W138" s="6">
        <f>IF(ISNUMBER(V138),IF(V138*Settings!$B$8&gt;1000,"beyond table",IFERROR(LOOKUP(V138*Settings!$B$8,'FOIS 145A'!$A$2:$A$22,'FOIS 145A'!$C$2:$C$22)*(1+IF(Settings!$B$11="Y",0,Settings!$B$10/100)),"")),"")</f>
        <v/>
      </c>
      <c r="X138" s="6">
        <f>IF(AND(ISNUMBER(U138),ISNUMBER(W138)),U138+W138,"")</f>
        <v/>
      </c>
      <c r="Y138">
        <f>Settings!$B$6</f>
        <v/>
      </c>
    </row>
    <row r="139">
      <c r="A139" t="inlineStr">
        <is>
          <t>No</t>
        </is>
      </c>
      <c r="B139" t="inlineStr">
        <is>
          <t>named mine/plant is far</t>
        </is>
      </c>
      <c r="C139" t="inlineStr"/>
      <c r="E139" t="inlineStr"/>
      <c r="H139" t="inlineStr">
        <is>
          <t>18059277</t>
        </is>
      </c>
      <c r="I139" t="inlineStr">
        <is>
          <t>GEM/2026/B/7773276</t>
        </is>
      </c>
      <c r="J139" t="inlineStr">
        <is>
          <t>handling &amp; transport service, feeding, crushing, loading &amp; transportation of 12.0 l te coal from surface stock of karo ocp to karo railway siding, pf-ii through mobile crusher ..</t>
        </is>
      </c>
      <c r="K139" t="inlineStr">
        <is>
          <t>Coal transport (RCR / siding)</t>
        </is>
      </c>
      <c r="L139" t="inlineStr">
        <is>
          <t>Central Coalfields Limited</t>
        </is>
      </c>
      <c r="M139" t="inlineStr">
        <is>
          <t>Jharkhand</t>
        </is>
      </c>
      <c r="N139" t="inlineStr">
        <is>
          <t>Bokaro</t>
        </is>
      </c>
      <c r="O139" s="5" t="n">
        <v>46228</v>
      </c>
      <c r="P139" t="inlineStr">
        <is>
          <t>AOC</t>
        </is>
      </c>
      <c r="Q139" t="inlineStr">
        <is>
          <t>Dadan Singh Llp</t>
        </is>
      </c>
      <c r="R139" t="inlineStr"/>
      <c r="S139" t="inlineStr">
        <is>
          <t>5 named / 6</t>
        </is>
      </c>
      <c r="T139" t="n">
        <v>10.67</v>
      </c>
      <c r="U139" s="6">
        <f>IF(ISNUMBER(G139),MAX(MAX(G139,Settings!$B$13)*Settings!$B$7*Settings!$B$5,IF(ISNUMBER(Settings!$B$12),Settings!$B$12,0))*(1+IF(Settings!$B$11="Y",0,Settings!$B$10/100))+N(Settings!$B$9),"")</f>
        <v/>
      </c>
      <c r="W139" s="6">
        <f>IF(ISNUMBER(V139),IF(V139*Settings!$B$8&gt;1000,"beyond table",IFERROR(LOOKUP(V139*Settings!$B$8,'FOIS 145A'!$A$2:$A$22,'FOIS 145A'!$C$2:$C$22)*(1+IF(Settings!$B$11="Y",0,Settings!$B$10/100)),"")),"")</f>
        <v/>
      </c>
      <c r="X139" s="6">
        <f>IF(AND(ISNUMBER(U139),ISNUMBER(W139)),U139+W139,"")</f>
        <v/>
      </c>
      <c r="Y139">
        <f>Settings!$B$6</f>
        <v/>
      </c>
    </row>
    <row r="140">
      <c r="A140" t="inlineStr">
        <is>
          <t>No</t>
        </is>
      </c>
      <c r="B140" t="inlineStr">
        <is>
          <t>named mine/plant is far</t>
        </is>
      </c>
      <c r="C140" t="inlineStr"/>
      <c r="E140" t="inlineStr"/>
      <c r="H140" t="inlineStr">
        <is>
          <t>18059003</t>
        </is>
      </c>
      <c r="I140" t="inlineStr">
        <is>
          <t>GEM/2026/B/7737726</t>
        </is>
      </c>
      <c r="J140" t="inlineStr">
        <is>
          <t>handling &amp; transport service, crushing, loading and transportation of coal from akk ocp to konar railway siding and pf-i of the jrd railway siding of b&amp;k area for a period of 0..</t>
        </is>
      </c>
      <c r="K140" t="inlineStr">
        <is>
          <t>Coal transport (RCR / siding)</t>
        </is>
      </c>
      <c r="L140" t="inlineStr">
        <is>
          <t>Central Coalfields Limited</t>
        </is>
      </c>
      <c r="M140" t="inlineStr">
        <is>
          <t>Jharkhand</t>
        </is>
      </c>
      <c r="N140" t="inlineStr">
        <is>
          <t>Bokaro</t>
        </is>
      </c>
      <c r="O140" s="5" t="n">
        <v>46220</v>
      </c>
      <c r="P140" t="inlineStr">
        <is>
          <t>AOC</t>
        </is>
      </c>
      <c r="Q140" t="inlineStr">
        <is>
          <t>R K Transport Private Limited</t>
        </is>
      </c>
      <c r="R140" t="inlineStr"/>
      <c r="S140" t="inlineStr">
        <is>
          <t>5 named / 8</t>
        </is>
      </c>
      <c r="T140" t="n">
        <v>13.43</v>
      </c>
      <c r="U140" s="6">
        <f>IF(ISNUMBER(G140),MAX(MAX(G140,Settings!$B$13)*Settings!$B$7*Settings!$B$5,IF(ISNUMBER(Settings!$B$12),Settings!$B$12,0))*(1+IF(Settings!$B$11="Y",0,Settings!$B$10/100))+N(Settings!$B$9),"")</f>
        <v/>
      </c>
      <c r="W140" s="6">
        <f>IF(ISNUMBER(V140),IF(V140*Settings!$B$8&gt;1000,"beyond table",IFERROR(LOOKUP(V140*Settings!$B$8,'FOIS 145A'!$A$2:$A$22,'FOIS 145A'!$C$2:$C$22)*(1+IF(Settings!$B$11="Y",0,Settings!$B$10/100)),"")),"")</f>
        <v/>
      </c>
      <c r="X140" s="6">
        <f>IF(AND(ISNUMBER(U140),ISNUMBER(W140)),U140+W140,"")</f>
        <v/>
      </c>
      <c r="Y140">
        <f>Settings!$B$6</f>
        <v/>
      </c>
    </row>
    <row r="141">
      <c r="A141" t="inlineStr">
        <is>
          <t>No</t>
        </is>
      </c>
      <c r="B141" t="inlineStr">
        <is>
          <t>plant = tender city in West Bengal; named mine/plant is far</t>
        </is>
      </c>
      <c r="C141" t="inlineStr"/>
      <c r="E141" t="inlineStr"/>
      <c r="H141" t="inlineStr">
        <is>
          <t>17643781</t>
        </is>
      </c>
      <c r="I141" t="inlineStr">
        <is>
          <t>GEM/2026/B/7607511</t>
        </is>
      </c>
      <c r="J141" t="inlineStr">
        <is>
          <t>handling and transport on lumpsum basis - handling service, annual contract for unloading of domestic , imported coal rakes ( bobr or boxn), oil rakes (btpn) and road oil tanker at rtps dvc for 2(two)</t>
        </is>
      </c>
      <c r="K141" t="inlineStr">
        <is>
          <t>Coal transport (RCR / siding)</t>
        </is>
      </c>
      <c r="L141" t="inlineStr">
        <is>
          <t>Damodar Valley Corporation</t>
        </is>
      </c>
      <c r="M141" t="inlineStr">
        <is>
          <t>West Bengal</t>
        </is>
      </c>
      <c r="N141" t="inlineStr">
        <is>
          <t>Purulia</t>
        </is>
      </c>
      <c r="O141" s="5" t="n">
        <v>46209</v>
      </c>
      <c r="P141" t="inlineStr">
        <is>
          <t>AOC</t>
        </is>
      </c>
      <c r="Q141" t="inlineStr">
        <is>
          <t>Optiminer Executors Private Limited</t>
        </is>
      </c>
      <c r="R141" t="inlineStr"/>
      <c r="S141" t="inlineStr">
        <is>
          <t>5 named / 9</t>
        </is>
      </c>
      <c r="T141" t="n">
        <v>8.279999999999999</v>
      </c>
      <c r="U141" s="6">
        <f>IF(ISNUMBER(G141),MAX(MAX(G141,Settings!$B$13)*Settings!$B$7*Settings!$B$5,IF(ISNUMBER(Settings!$B$12),Settings!$B$12,0))*(1+IF(Settings!$B$11="Y",0,Settings!$B$10/100))+N(Settings!$B$9),"")</f>
        <v/>
      </c>
      <c r="W141" s="6">
        <f>IF(ISNUMBER(V141),IF(V141*Settings!$B$8&gt;1000,"beyond table",IFERROR(LOOKUP(V141*Settings!$B$8,'FOIS 145A'!$A$2:$A$22,'FOIS 145A'!$C$2:$C$22)*(1+IF(Settings!$B$11="Y",0,Settings!$B$10/100)),"")),"")</f>
        <v/>
      </c>
      <c r="X141" s="6">
        <f>IF(AND(ISNUMBER(U141),ISNUMBER(W141)),U141+W141,"")</f>
        <v/>
      </c>
      <c r="Y141">
        <f>Settings!$B$6</f>
        <v/>
      </c>
    </row>
    <row r="142">
      <c r="A142" t="inlineStr">
        <is>
          <t>No</t>
        </is>
      </c>
      <c r="B142" t="inlineStr">
        <is>
          <t>plant = tender city in Uttar Pradesh; named mine/plant is far</t>
        </is>
      </c>
      <c r="C142" t="inlineStr"/>
      <c r="E142" t="inlineStr"/>
      <c r="H142" t="inlineStr">
        <is>
          <t>18159447</t>
        </is>
      </c>
      <c r="I142" t="inlineStr">
        <is>
          <t>GEM/2026/B/7516431</t>
        </is>
      </c>
      <c r="J142" t="inlineStr">
        <is>
          <t>handling and transport on lumpsum basis - manual unloading of coal from rakes, loading and transportation of coal by hyvas at gtpp and other associated works</t>
        </is>
      </c>
      <c r="K142" t="inlineStr">
        <is>
          <t>Coal transport (RCR / siding)</t>
        </is>
      </c>
      <c r="L142" t="inlineStr">
        <is>
          <t>Neyveli Uttar Pradesh Power Limited</t>
        </is>
      </c>
      <c r="M142" t="inlineStr">
        <is>
          <t>Uttar Pradesh</t>
        </is>
      </c>
      <c r="N142" t="inlineStr">
        <is>
          <t>Kanpur</t>
        </is>
      </c>
      <c r="O142" s="5" t="n">
        <v>46185</v>
      </c>
      <c r="P142" t="inlineStr">
        <is>
          <t>AOC</t>
        </is>
      </c>
      <c r="Q142" t="inlineStr">
        <is>
          <t>Anusandhan Commotrade Private Limited</t>
        </is>
      </c>
      <c r="R142" t="inlineStr">
        <is>
          <t>Shah Coal</t>
        </is>
      </c>
      <c r="S142" t="inlineStr">
        <is>
          <t>5 named / 6</t>
        </is>
      </c>
      <c r="T142" t="n">
        <v>15.61</v>
      </c>
      <c r="U142" s="6">
        <f>IF(ISNUMBER(G142),MAX(MAX(G142,Settings!$B$13)*Settings!$B$7*Settings!$B$5,IF(ISNUMBER(Settings!$B$12),Settings!$B$12,0))*(1+IF(Settings!$B$11="Y",0,Settings!$B$10/100))+N(Settings!$B$9),"")</f>
        <v/>
      </c>
      <c r="W142" s="6">
        <f>IF(ISNUMBER(V142),IF(V142*Settings!$B$8&gt;1000,"beyond table",IFERROR(LOOKUP(V142*Settings!$B$8,'FOIS 145A'!$A$2:$A$22,'FOIS 145A'!$C$2:$C$22)*(1+IF(Settings!$B$11="Y",0,Settings!$B$10/100)),"")),"")</f>
        <v/>
      </c>
      <c r="X142" s="6">
        <f>IF(AND(ISNUMBER(U142),ISNUMBER(W142)),U142+W142,"")</f>
        <v/>
      </c>
      <c r="Y142">
        <f>Settings!$B$6</f>
        <v/>
      </c>
    </row>
    <row r="143">
      <c r="A143" t="inlineStr">
        <is>
          <t>No</t>
        </is>
      </c>
      <c r="B143" t="inlineStr">
        <is>
          <t>named mine/plant is far</t>
        </is>
      </c>
      <c r="C143" t="inlineStr"/>
      <c r="E143" t="inlineStr"/>
      <c r="H143" t="inlineStr">
        <is>
          <t>17391448</t>
        </is>
      </c>
      <c r="I143" t="inlineStr">
        <is>
          <t>GEM/2026/B/7541776</t>
        </is>
      </c>
      <c r="J143" t="inlineStr">
        <is>
          <t xml:space="preserve">appointment of an agency for coal lifting and transportation of coal via road from ms nlc india limited (nlc) to railway sidings &amp; wagon loading at railway siding for onward transportation of coal to </t>
        </is>
      </c>
      <c r="K143" t="inlineStr">
        <is>
          <t>Coal transport (RCR / siding)</t>
        </is>
      </c>
      <c r="L143" t="inlineStr">
        <is>
          <t>Rashtriya Ispat Nigam Limited</t>
        </is>
      </c>
      <c r="M143" t="inlineStr">
        <is>
          <t>Andhra Pradesh</t>
        </is>
      </c>
      <c r="N143" t="inlineStr">
        <is>
          <t>Visakhapatnam</t>
        </is>
      </c>
      <c r="O143" s="5" t="n">
        <v>46167</v>
      </c>
      <c r="P143" t="inlineStr">
        <is>
          <t>AOC</t>
        </is>
      </c>
      <c r="Q143" t="inlineStr">
        <is>
          <t>Maa Kalika Transport Private Limited</t>
        </is>
      </c>
      <c r="R143" t="inlineStr">
        <is>
          <t>Anoop Road Carriers</t>
        </is>
      </c>
      <c r="S143" t="inlineStr">
        <is>
          <t>3 named / 3</t>
        </is>
      </c>
      <c r="T143" t="n">
        <v>0.36</v>
      </c>
      <c r="U143" s="6">
        <f>IF(ISNUMBER(G143),MAX(MAX(G143,Settings!$B$13)*Settings!$B$7*Settings!$B$5,IF(ISNUMBER(Settings!$B$12),Settings!$B$12,0))*(1+IF(Settings!$B$11="Y",0,Settings!$B$10/100))+N(Settings!$B$9),"")</f>
        <v/>
      </c>
      <c r="W143" s="6">
        <f>IF(ISNUMBER(V143),IF(V143*Settings!$B$8&gt;1000,"beyond table",IFERROR(LOOKUP(V143*Settings!$B$8,'FOIS 145A'!$A$2:$A$22,'FOIS 145A'!$C$2:$C$22)*(1+IF(Settings!$B$11="Y",0,Settings!$B$10/100)),"")),"")</f>
        <v/>
      </c>
      <c r="X143" s="6">
        <f>IF(AND(ISNUMBER(U143),ISNUMBER(W143)),U143+W143,"")</f>
        <v/>
      </c>
      <c r="Y143">
        <f>Settings!$B$6</f>
        <v/>
      </c>
    </row>
    <row r="144">
      <c r="A144" t="inlineStr">
        <is>
          <t>No</t>
        </is>
      </c>
      <c r="B144" t="inlineStr">
        <is>
          <t>named mine/plant is far</t>
        </is>
      </c>
      <c r="C144" t="inlineStr"/>
      <c r="E144" t="inlineStr"/>
      <c r="H144" t="inlineStr">
        <is>
          <t>17357246</t>
        </is>
      </c>
      <c r="I144" t="inlineStr">
        <is>
          <t>GEM/2026/B/7510384</t>
        </is>
      </c>
      <c r="J144" t="inlineStr">
        <is>
          <t>loading &amp; transportation by contractor’s payloaders and tippers for 5.00 l te. rom coal from surface stock of karo ocp, b&amp;k area to f/b of jarangdih railway siding, p.f.-ii of kathara area for a perio</t>
        </is>
      </c>
      <c r="K144" t="inlineStr">
        <is>
          <t>Coal transport (RCR / siding)</t>
        </is>
      </c>
      <c r="L144" t="inlineStr">
        <is>
          <t>Central Coalfields Limited</t>
        </is>
      </c>
      <c r="M144" t="inlineStr">
        <is>
          <t>Jharkhand</t>
        </is>
      </c>
      <c r="N144" t="inlineStr">
        <is>
          <t>Ranchi</t>
        </is>
      </c>
      <c r="O144" s="5" t="n">
        <v>46163</v>
      </c>
      <c r="P144" t="inlineStr">
        <is>
          <t>AOC</t>
        </is>
      </c>
      <c r="Q144" t="inlineStr">
        <is>
          <t>Shri Shyam Transport Co</t>
        </is>
      </c>
      <c r="R144" t="inlineStr"/>
      <c r="S144" t="inlineStr">
        <is>
          <t>5 named / 6</t>
        </is>
      </c>
      <c r="T144" t="n">
        <v>6.58</v>
      </c>
      <c r="U144" s="6">
        <f>IF(ISNUMBER(G144),MAX(MAX(G144,Settings!$B$13)*Settings!$B$7*Settings!$B$5,IF(ISNUMBER(Settings!$B$12),Settings!$B$12,0))*(1+IF(Settings!$B$11="Y",0,Settings!$B$10/100))+N(Settings!$B$9),"")</f>
        <v/>
      </c>
      <c r="W144" s="6">
        <f>IF(ISNUMBER(V144),IF(V144*Settings!$B$8&gt;1000,"beyond table",IFERROR(LOOKUP(V144*Settings!$B$8,'FOIS 145A'!$A$2:$A$22,'FOIS 145A'!$C$2:$C$22)*(1+IF(Settings!$B$11="Y",0,Settings!$B$10/100)),"")),"")</f>
        <v/>
      </c>
      <c r="X144" s="6">
        <f>IF(AND(ISNUMBER(U144),ISNUMBER(W144)),U144+W144,"")</f>
        <v/>
      </c>
      <c r="Y144">
        <f>Settings!$B$6</f>
        <v/>
      </c>
    </row>
    <row r="145">
      <c r="A145" t="inlineStr">
        <is>
          <t>No</t>
        </is>
      </c>
      <c r="B145" t="inlineStr">
        <is>
          <t>named mine/plant is far</t>
        </is>
      </c>
      <c r="C145" t="inlineStr"/>
      <c r="E145" t="inlineStr"/>
      <c r="H145" t="inlineStr">
        <is>
          <t>17443287</t>
        </is>
      </c>
      <c r="I145" t="inlineStr">
        <is>
          <t>GEM/2026/B/7408271</t>
        </is>
      </c>
      <c r="J145" t="inlineStr">
        <is>
          <t>handling &amp; transport service, crushing, loading and transportation of coal from singori ocm to saoner siding of nagpur area</t>
        </is>
      </c>
      <c r="K145" t="inlineStr">
        <is>
          <t>Coal transport (RCR / siding)</t>
        </is>
      </c>
      <c r="L145" t="inlineStr">
        <is>
          <t>Western Coalfields Limited</t>
        </is>
      </c>
      <c r="M145" t="inlineStr">
        <is>
          <t>Maharashtra</t>
        </is>
      </c>
      <c r="N145" t="inlineStr">
        <is>
          <t>Nagpur</t>
        </is>
      </c>
      <c r="O145" s="5" t="n">
        <v>46132</v>
      </c>
      <c r="P145" t="inlineStr">
        <is>
          <t>AOC</t>
        </is>
      </c>
      <c r="Q145" t="inlineStr">
        <is>
          <t>Orbit Corporation</t>
        </is>
      </c>
      <c r="R145" t="inlineStr"/>
      <c r="S145" t="inlineStr">
        <is>
          <t>5 named / 15</t>
        </is>
      </c>
      <c r="T145" t="n">
        <v>83.22</v>
      </c>
      <c r="U145" s="6">
        <f>IF(ISNUMBER(G145),MAX(MAX(G145,Settings!$B$13)*Settings!$B$7*Settings!$B$5,IF(ISNUMBER(Settings!$B$12),Settings!$B$12,0))*(1+IF(Settings!$B$11="Y",0,Settings!$B$10/100))+N(Settings!$B$9),"")</f>
        <v/>
      </c>
      <c r="W145" s="6">
        <f>IF(ISNUMBER(V145),IF(V145*Settings!$B$8&gt;1000,"beyond table",IFERROR(LOOKUP(V145*Settings!$B$8,'FOIS 145A'!$A$2:$A$22,'FOIS 145A'!$C$2:$C$22)*(1+IF(Settings!$B$11="Y",0,Settings!$B$10/100)),"")),"")</f>
        <v/>
      </c>
      <c r="X145" s="6">
        <f>IF(AND(ISNUMBER(U145),ISNUMBER(W145)),U145+W145,"")</f>
        <v/>
      </c>
      <c r="Y145">
        <f>Settings!$B$6</f>
        <v/>
      </c>
    </row>
    <row r="146">
      <c r="A146" t="inlineStr">
        <is>
          <t>No</t>
        </is>
      </c>
      <c r="B146" t="inlineStr">
        <is>
          <t>named mine/plant is far</t>
        </is>
      </c>
      <c r="C146" t="inlineStr"/>
      <c r="E146" t="inlineStr"/>
      <c r="H146" t="inlineStr">
        <is>
          <t>16990555</t>
        </is>
      </c>
      <c r="I146" t="inlineStr">
        <is>
          <t>GEM/2026/B/7397675</t>
        </is>
      </c>
      <c r="J146" t="inlineStr">
        <is>
          <t>handling &amp; transport service, transportation of crushed coal to umrer siding at mkd-i ocm of umrer area</t>
        </is>
      </c>
      <c r="K146" t="inlineStr">
        <is>
          <t>Coal transport (RCR / siding)</t>
        </is>
      </c>
      <c r="L146" t="inlineStr">
        <is>
          <t>Western Coalfields Limited</t>
        </is>
      </c>
      <c r="M146" t="inlineStr">
        <is>
          <t>Maharashtra</t>
        </is>
      </c>
      <c r="N146" t="inlineStr">
        <is>
          <t>Nagpur</t>
        </is>
      </c>
      <c r="O146" s="5" t="n">
        <v>46125</v>
      </c>
      <c r="P146" t="inlineStr">
        <is>
          <t>Financial</t>
        </is>
      </c>
      <c r="Q146" t="inlineStr">
        <is>
          <t>-</t>
        </is>
      </c>
      <c r="R146" t="inlineStr">
        <is>
          <t>Saikrupa Coal Supplier</t>
        </is>
      </c>
      <c r="S146" t="inlineStr">
        <is>
          <t>4 named / 4</t>
        </is>
      </c>
      <c r="U146" s="6">
        <f>IF(ISNUMBER(G146),MAX(MAX(G146,Settings!$B$13)*Settings!$B$7*Settings!$B$5,IF(ISNUMBER(Settings!$B$12),Settings!$B$12,0))*(1+IF(Settings!$B$11="Y",0,Settings!$B$10/100))+N(Settings!$B$9),"")</f>
        <v/>
      </c>
      <c r="W146" s="6">
        <f>IF(ISNUMBER(V146),IF(V146*Settings!$B$8&gt;1000,"beyond table",IFERROR(LOOKUP(V146*Settings!$B$8,'FOIS 145A'!$A$2:$A$22,'FOIS 145A'!$C$2:$C$22)*(1+IF(Settings!$B$11="Y",0,Settings!$B$10/100)),"")),"")</f>
        <v/>
      </c>
      <c r="X146" s="6">
        <f>IF(AND(ISNUMBER(U146),ISNUMBER(W146)),U146+W146,"")</f>
        <v/>
      </c>
      <c r="Y146">
        <f>Settings!$B$6</f>
        <v/>
      </c>
    </row>
    <row r="147">
      <c r="A147" t="inlineStr">
        <is>
          <t>No</t>
        </is>
      </c>
      <c r="B147" t="inlineStr">
        <is>
          <t>named mine/plant is far</t>
        </is>
      </c>
      <c r="C147" t="inlineStr"/>
      <c r="E147" t="inlineStr"/>
      <c r="H147" t="inlineStr">
        <is>
          <t>17044950</t>
        </is>
      </c>
      <c r="I147" t="inlineStr">
        <is>
          <t>GEM/2026/B/7374477</t>
        </is>
      </c>
      <c r="J147" t="inlineStr">
        <is>
          <t>handling &amp; transport service, crushing of rom coal by hired fully mobile crusher and transportation of coal from penganga ocm to mungoli railway siding of wani area</t>
        </is>
      </c>
      <c r="K147" t="inlineStr">
        <is>
          <t>Coal transport (RCR / siding)</t>
        </is>
      </c>
      <c r="L147" t="inlineStr">
        <is>
          <t>Western Coalfields Limited</t>
        </is>
      </c>
      <c r="M147" t="inlineStr">
        <is>
          <t>Maharashtra</t>
        </is>
      </c>
      <c r="N147" t="inlineStr">
        <is>
          <t>Chandrapur</t>
        </is>
      </c>
      <c r="O147" s="5" t="n">
        <v>46123</v>
      </c>
      <c r="P147" t="inlineStr">
        <is>
          <t>Financial</t>
        </is>
      </c>
      <c r="Q147" t="inlineStr">
        <is>
          <t>-</t>
        </is>
      </c>
      <c r="R147" t="inlineStr">
        <is>
          <t>Saikrupa Coal Supplier</t>
        </is>
      </c>
      <c r="S147" t="inlineStr">
        <is>
          <t>3 named / 3</t>
        </is>
      </c>
      <c r="U147" s="6">
        <f>IF(ISNUMBER(G147),MAX(MAX(G147,Settings!$B$13)*Settings!$B$7*Settings!$B$5,IF(ISNUMBER(Settings!$B$12),Settings!$B$12,0))*(1+IF(Settings!$B$11="Y",0,Settings!$B$10/100))+N(Settings!$B$9),"")</f>
        <v/>
      </c>
      <c r="W147" s="6">
        <f>IF(ISNUMBER(V147),IF(V147*Settings!$B$8&gt;1000,"beyond table",IFERROR(LOOKUP(V147*Settings!$B$8,'FOIS 145A'!$A$2:$A$22,'FOIS 145A'!$C$2:$C$22)*(1+IF(Settings!$B$11="Y",0,Settings!$B$10/100)),"")),"")</f>
        <v/>
      </c>
      <c r="X147" s="6">
        <f>IF(AND(ISNUMBER(U147),ISNUMBER(W147)),U147+W147,"")</f>
        <v/>
      </c>
      <c r="Y147">
        <f>Settings!$B$6</f>
        <v/>
      </c>
    </row>
    <row r="148">
      <c r="A148" t="inlineStr">
        <is>
          <t>No</t>
        </is>
      </c>
      <c r="B148" t="inlineStr">
        <is>
          <t>named mine/plant is far</t>
        </is>
      </c>
      <c r="C148" t="inlineStr"/>
      <c r="E148" t="inlineStr"/>
      <c r="H148" t="inlineStr">
        <is>
          <t>17128589</t>
        </is>
      </c>
      <c r="I148" t="inlineStr">
        <is>
          <t>GEM/2026/B/7367627</t>
        </is>
      </c>
      <c r="J148" t="inlineStr">
        <is>
          <t>handling &amp; transport service, crushing of rom coal by hired fully mobile crusher and transportation of coal from kolgaon ocm to mungoli railway siding of wani area</t>
        </is>
      </c>
      <c r="K148" t="inlineStr">
        <is>
          <t>Coal transport (RCR / siding)</t>
        </is>
      </c>
      <c r="L148" t="inlineStr">
        <is>
          <t>Western Coalfields Limited</t>
        </is>
      </c>
      <c r="M148" t="inlineStr">
        <is>
          <t>Maharashtra</t>
        </is>
      </c>
      <c r="N148" t="inlineStr">
        <is>
          <t>Chandrapur</t>
        </is>
      </c>
      <c r="O148" s="5" t="n">
        <v>46121</v>
      </c>
      <c r="P148" t="inlineStr">
        <is>
          <t>Financial</t>
        </is>
      </c>
      <c r="Q148" t="inlineStr">
        <is>
          <t>-</t>
        </is>
      </c>
      <c r="R148" t="inlineStr">
        <is>
          <t>Saikrupa Coal Supplier</t>
        </is>
      </c>
      <c r="S148" t="inlineStr">
        <is>
          <t>3 named / 3</t>
        </is>
      </c>
      <c r="U148" s="6">
        <f>IF(ISNUMBER(G148),MAX(MAX(G148,Settings!$B$13)*Settings!$B$7*Settings!$B$5,IF(ISNUMBER(Settings!$B$12),Settings!$B$12,0))*(1+IF(Settings!$B$11="Y",0,Settings!$B$10/100))+N(Settings!$B$9),"")</f>
        <v/>
      </c>
      <c r="W148" s="6">
        <f>IF(ISNUMBER(V148),IF(V148*Settings!$B$8&gt;1000,"beyond table",IFERROR(LOOKUP(V148*Settings!$B$8,'FOIS 145A'!$A$2:$A$22,'FOIS 145A'!$C$2:$C$22)*(1+IF(Settings!$B$11="Y",0,Settings!$B$10/100)),"")),"")</f>
        <v/>
      </c>
      <c r="X148" s="6">
        <f>IF(AND(ISNUMBER(U148),ISNUMBER(W148)),U148+W148,"")</f>
        <v/>
      </c>
      <c r="Y148">
        <f>Settings!$B$6</f>
        <v/>
      </c>
    </row>
    <row r="149">
      <c r="A149" t="inlineStr">
        <is>
          <t>No</t>
        </is>
      </c>
      <c r="B149" t="inlineStr">
        <is>
          <t>named mine/plant is far</t>
        </is>
      </c>
      <c r="C149" t="inlineStr"/>
      <c r="E149" t="inlineStr"/>
      <c r="H149" t="inlineStr">
        <is>
          <t>17092729</t>
        </is>
      </c>
      <c r="I149" t="inlineStr">
        <is>
          <t>GEM/2026/B/7296560</t>
        </is>
      </c>
      <c r="J149" t="inlineStr">
        <is>
          <t>handling &amp; transport service, coal transportation from mungoli ocm to mungoli railway siding of wani area</t>
        </is>
      </c>
      <c r="K149" t="inlineStr">
        <is>
          <t>Coal transport (RCR / siding)</t>
        </is>
      </c>
      <c r="L149" t="inlineStr">
        <is>
          <t>Western Coalfields Limited</t>
        </is>
      </c>
      <c r="M149" t="inlineStr">
        <is>
          <t>Maharashtra</t>
        </is>
      </c>
      <c r="N149" t="inlineStr">
        <is>
          <t>Chandrapur</t>
        </is>
      </c>
      <c r="O149" s="5" t="n">
        <v>46097</v>
      </c>
      <c r="P149" t="inlineStr">
        <is>
          <t>AOC</t>
        </is>
      </c>
      <c r="Q149" t="inlineStr">
        <is>
          <t>Menakshi Con</t>
        </is>
      </c>
      <c r="R149" t="inlineStr"/>
      <c r="S149" t="inlineStr">
        <is>
          <t>5 named / 8</t>
        </is>
      </c>
      <c r="T149" t="n">
        <v>19.45</v>
      </c>
      <c r="U149" s="6">
        <f>IF(ISNUMBER(G149),MAX(MAX(G149,Settings!$B$13)*Settings!$B$7*Settings!$B$5,IF(ISNUMBER(Settings!$B$12),Settings!$B$12,0))*(1+IF(Settings!$B$11="Y",0,Settings!$B$10/100))+N(Settings!$B$9),"")</f>
        <v/>
      </c>
      <c r="W149" s="6">
        <f>IF(ISNUMBER(V149),IF(V149*Settings!$B$8&gt;1000,"beyond table",IFERROR(LOOKUP(V149*Settings!$B$8,'FOIS 145A'!$A$2:$A$22,'FOIS 145A'!$C$2:$C$22)*(1+IF(Settings!$B$11="Y",0,Settings!$B$10/100)),"")),"")</f>
        <v/>
      </c>
      <c r="X149" s="6">
        <f>IF(AND(ISNUMBER(U149),ISNUMBER(W149)),U149+W149,"")</f>
        <v/>
      </c>
      <c r="Y149">
        <f>Settings!$B$6</f>
        <v/>
      </c>
    </row>
    <row r="150">
      <c r="A150" t="inlineStr">
        <is>
          <t>No</t>
        </is>
      </c>
      <c r="B150" t="inlineStr">
        <is>
          <t>named mine/plant is far</t>
        </is>
      </c>
      <c r="C150" t="inlineStr"/>
      <c r="E150" t="inlineStr"/>
      <c r="H150" t="inlineStr">
        <is>
          <t>16881646</t>
        </is>
      </c>
      <c r="I150" t="inlineStr">
        <is>
          <t>GEM/2026/B/7256215</t>
        </is>
      </c>
      <c r="J150" t="inlineStr">
        <is>
          <t>handling &amp; transport service, loading and transportation of 30,000 te of coal per day from surface coal stock yards of amrapali ocp to shivpur siding and loading of coal into ra..</t>
        </is>
      </c>
      <c r="K150" t="inlineStr">
        <is>
          <t>Coal transport (RCR / siding)</t>
        </is>
      </c>
      <c r="L150" t="inlineStr">
        <is>
          <t>Central Coalfields Limited</t>
        </is>
      </c>
      <c r="M150" t="inlineStr">
        <is>
          <t>Jharkhand</t>
        </is>
      </c>
      <c r="N150" t="inlineStr">
        <is>
          <t>Ranchi</t>
        </is>
      </c>
      <c r="O150" s="5" t="n">
        <v>46086</v>
      </c>
      <c r="P150" t="inlineStr">
        <is>
          <t>AOC</t>
        </is>
      </c>
      <c r="Q150" t="inlineStr">
        <is>
          <t>Variant Commercial Private Limited</t>
        </is>
      </c>
      <c r="R150" t="inlineStr">
        <is>
          <t>Godavari Commodities</t>
        </is>
      </c>
      <c r="S150" t="inlineStr">
        <is>
          <t>5 named / 13</t>
        </is>
      </c>
      <c r="T150" t="n">
        <v>101.06</v>
      </c>
      <c r="U150" s="6">
        <f>IF(ISNUMBER(G150),MAX(MAX(G150,Settings!$B$13)*Settings!$B$7*Settings!$B$5,IF(ISNUMBER(Settings!$B$12),Settings!$B$12,0))*(1+IF(Settings!$B$11="Y",0,Settings!$B$10/100))+N(Settings!$B$9),"")</f>
        <v/>
      </c>
      <c r="W150" s="6">
        <f>IF(ISNUMBER(V150),IF(V150*Settings!$B$8&gt;1000,"beyond table",IFERROR(LOOKUP(V150*Settings!$B$8,'FOIS 145A'!$A$2:$A$22,'FOIS 145A'!$C$2:$C$22)*(1+IF(Settings!$B$11="Y",0,Settings!$B$10/100)),"")),"")</f>
        <v/>
      </c>
      <c r="X150" s="6">
        <f>IF(AND(ISNUMBER(U150),ISNUMBER(W150)),U150+W150,"")</f>
        <v/>
      </c>
      <c r="Y150">
        <f>Settings!$B$6</f>
        <v/>
      </c>
    </row>
    <row r="151">
      <c r="A151" t="inlineStr">
        <is>
          <t>No</t>
        </is>
      </c>
      <c r="B151" t="inlineStr">
        <is>
          <t>mine = coal company's tender in Maharashtra; named mine/plant is far</t>
        </is>
      </c>
      <c r="C151" t="inlineStr"/>
      <c r="E151" t="inlineStr"/>
      <c r="H151" t="inlineStr">
        <is>
          <t>16787504</t>
        </is>
      </c>
      <c r="I151" t="inlineStr">
        <is>
          <t>GEM/2026/B/7192765</t>
        </is>
      </c>
      <c r="J151" t="inlineStr">
        <is>
          <t>transport service, coal transportation at yekona-i quarry of amalgamated i &amp; ii oc mine to chargaon railway siding of majri area</t>
        </is>
      </c>
      <c r="K151" t="inlineStr">
        <is>
          <t>Coal transport (RCR / siding)</t>
        </is>
      </c>
      <c r="L151" t="inlineStr">
        <is>
          <t>Western Coalfields Limited</t>
        </is>
      </c>
      <c r="M151" t="inlineStr">
        <is>
          <t>Maharashtra</t>
        </is>
      </c>
      <c r="N151" t="inlineStr">
        <is>
          <t>Chandrapur</t>
        </is>
      </c>
      <c r="O151" s="5" t="n">
        <v>46073</v>
      </c>
      <c r="P151" t="inlineStr">
        <is>
          <t>AOC</t>
        </is>
      </c>
      <c r="Q151" t="inlineStr">
        <is>
          <t>Saikrupa Coal Supplier</t>
        </is>
      </c>
      <c r="R151" t="inlineStr">
        <is>
          <t>Saikrupa Coal Supplier</t>
        </is>
      </c>
      <c r="S151" t="inlineStr">
        <is>
          <t>3 named / 3</t>
        </is>
      </c>
      <c r="T151" t="n">
        <v>9.970000000000001</v>
      </c>
      <c r="U151" s="6">
        <f>IF(ISNUMBER(G151),MAX(MAX(G151,Settings!$B$13)*Settings!$B$7*Settings!$B$5,IF(ISNUMBER(Settings!$B$12),Settings!$B$12,0))*(1+IF(Settings!$B$11="Y",0,Settings!$B$10/100))+N(Settings!$B$9),"")</f>
        <v/>
      </c>
      <c r="W151" s="6">
        <f>IF(ISNUMBER(V151),IF(V151*Settings!$B$8&gt;1000,"beyond table",IFERROR(LOOKUP(V151*Settings!$B$8,'FOIS 145A'!$A$2:$A$22,'FOIS 145A'!$C$2:$C$22)*(1+IF(Settings!$B$11="Y",0,Settings!$B$10/100)),"")),"")</f>
        <v/>
      </c>
      <c r="X151" s="6">
        <f>IF(AND(ISNUMBER(U151),ISNUMBER(W151)),U151+W151,"")</f>
        <v/>
      </c>
      <c r="Y151">
        <f>Settings!$B$6</f>
        <v/>
      </c>
    </row>
    <row r="152">
      <c r="A152" t="inlineStr">
        <is>
          <t>No</t>
        </is>
      </c>
      <c r="B152" t="inlineStr">
        <is>
          <t>named mine/plant is far</t>
        </is>
      </c>
      <c r="C152" t="inlineStr"/>
      <c r="E152" t="inlineStr"/>
      <c r="H152" t="inlineStr">
        <is>
          <t>16881310</t>
        </is>
      </c>
      <c r="I152" t="inlineStr">
        <is>
          <t>GEM/2026/B/7187172</t>
        </is>
      </c>
      <c r="J152" t="inlineStr">
        <is>
          <t>handling &amp; transport service, crushing, loading &amp; transportation of 9.0 l te coal from akk ocp to the konar railway siding, b&amp;k area for a period of 180 days</t>
        </is>
      </c>
      <c r="K152" t="inlineStr">
        <is>
          <t>Coal transport (RCR / siding)</t>
        </is>
      </c>
      <c r="L152" t="inlineStr">
        <is>
          <t>Central Coalfields Limited</t>
        </is>
      </c>
      <c r="M152" t="inlineStr">
        <is>
          <t>Jharkhand</t>
        </is>
      </c>
      <c r="N152" t="inlineStr">
        <is>
          <t>Bokaro</t>
        </is>
      </c>
      <c r="O152" s="5" t="n">
        <v>46071</v>
      </c>
      <c r="P152" t="inlineStr">
        <is>
          <t>AOC</t>
        </is>
      </c>
      <c r="Q152" t="inlineStr">
        <is>
          <t>M/S Dadan Singh</t>
        </is>
      </c>
      <c r="R152" t="inlineStr"/>
      <c r="S152" t="inlineStr">
        <is>
          <t>3 named / 3</t>
        </is>
      </c>
      <c r="T152" t="n">
        <v>6.14</v>
      </c>
      <c r="U152" s="6">
        <f>IF(ISNUMBER(G152),MAX(MAX(G152,Settings!$B$13)*Settings!$B$7*Settings!$B$5,IF(ISNUMBER(Settings!$B$12),Settings!$B$12,0))*(1+IF(Settings!$B$11="Y",0,Settings!$B$10/100))+N(Settings!$B$9),"")</f>
        <v/>
      </c>
      <c r="W152" s="6">
        <f>IF(ISNUMBER(V152),IF(V152*Settings!$B$8&gt;1000,"beyond table",IFERROR(LOOKUP(V152*Settings!$B$8,'FOIS 145A'!$A$2:$A$22,'FOIS 145A'!$C$2:$C$22)*(1+IF(Settings!$B$11="Y",0,Settings!$B$10/100)),"")),"")</f>
        <v/>
      </c>
      <c r="X152" s="6">
        <f>IF(AND(ISNUMBER(U152),ISNUMBER(W152)),U152+W152,"")</f>
        <v/>
      </c>
      <c r="Y152">
        <f>Settings!$B$6</f>
        <v/>
      </c>
    </row>
    <row r="153">
      <c r="A153" t="inlineStr">
        <is>
          <t>No</t>
        </is>
      </c>
      <c r="B153" t="inlineStr">
        <is>
          <t>named mine/plant is far</t>
        </is>
      </c>
      <c r="C153" t="inlineStr"/>
      <c r="E153" t="inlineStr"/>
      <c r="H153" t="inlineStr">
        <is>
          <t>16776325</t>
        </is>
      </c>
      <c r="I153" t="inlineStr">
        <is>
          <t>GEM/2026/B/7178352</t>
        </is>
      </c>
      <c r="J153" t="inlineStr">
        <is>
          <t>handling &amp; transport service, crushing of rom coal by hiring of mobile crusher and transportation of crushed coal from ukni ocm to wani railway siding of wani north area</t>
        </is>
      </c>
      <c r="K153" t="inlineStr">
        <is>
          <t>Coal transport (RCR / siding)</t>
        </is>
      </c>
      <c r="L153" t="inlineStr">
        <is>
          <t>Western Coalfields Limited</t>
        </is>
      </c>
      <c r="M153" t="inlineStr">
        <is>
          <t>Maharashtra</t>
        </is>
      </c>
      <c r="N153" t="inlineStr">
        <is>
          <t>Yavatmal</t>
        </is>
      </c>
      <c r="O153" s="5" t="n">
        <v>46071</v>
      </c>
      <c r="P153" t="inlineStr">
        <is>
          <t>AOC</t>
        </is>
      </c>
      <c r="Q153" t="inlineStr">
        <is>
          <t>Krishna Infrastructure</t>
        </is>
      </c>
      <c r="R153" t="inlineStr">
        <is>
          <t>Krishna Infrastructure</t>
        </is>
      </c>
      <c r="S153" t="inlineStr">
        <is>
          <t>5 named / 13</t>
        </is>
      </c>
      <c r="T153" t="n">
        <v>94.52</v>
      </c>
      <c r="U153" s="6">
        <f>IF(ISNUMBER(G153),MAX(MAX(G153,Settings!$B$13)*Settings!$B$7*Settings!$B$5,IF(ISNUMBER(Settings!$B$12),Settings!$B$12,0))*(1+IF(Settings!$B$11="Y",0,Settings!$B$10/100))+N(Settings!$B$9),"")</f>
        <v/>
      </c>
      <c r="W153" s="6">
        <f>IF(ISNUMBER(V153),IF(V153*Settings!$B$8&gt;1000,"beyond table",IFERROR(LOOKUP(V153*Settings!$B$8,'FOIS 145A'!$A$2:$A$22,'FOIS 145A'!$C$2:$C$22)*(1+IF(Settings!$B$11="Y",0,Settings!$B$10/100)),"")),"")</f>
        <v/>
      </c>
      <c r="X153" s="6">
        <f>IF(AND(ISNUMBER(U153),ISNUMBER(W153)),U153+W153,"")</f>
        <v/>
      </c>
      <c r="Y153">
        <f>Settings!$B$6</f>
        <v/>
      </c>
    </row>
    <row r="154">
      <c r="A154" t="inlineStr">
        <is>
          <t>No</t>
        </is>
      </c>
      <c r="B154" t="inlineStr">
        <is>
          <t>plant = tender city in Jharkhand; named mine/plant is far</t>
        </is>
      </c>
      <c r="C154" t="inlineStr"/>
      <c r="E154" t="inlineStr"/>
      <c r="H154" t="inlineStr">
        <is>
          <t>16427868</t>
        </is>
      </c>
      <c r="I154" t="inlineStr">
        <is>
          <t>GEM/2026/B/7061231</t>
        </is>
      </c>
      <c r="J154" t="inlineStr">
        <is>
          <t>loading transportation and unloading and wagon loading of 8 lmt of coal from surface coal yard of kerandari coal mining project</t>
        </is>
      </c>
      <c r="K154" t="inlineStr">
        <is>
          <t>Coal transport (RCR / siding)</t>
        </is>
      </c>
      <c r="L154" t="inlineStr">
        <is>
          <t>National Thermal Power Corporation Limited</t>
        </is>
      </c>
      <c r="M154" t="inlineStr">
        <is>
          <t>Jharkhand</t>
        </is>
      </c>
      <c r="N154" t="inlineStr">
        <is>
          <t>Hazaribagh</t>
        </is>
      </c>
      <c r="O154" s="5" t="n">
        <v>46045</v>
      </c>
      <c r="P154" t="inlineStr">
        <is>
          <t>AOC</t>
        </is>
      </c>
      <c r="Q154" t="inlineStr">
        <is>
          <t>Jainandani Commodities Private Limited</t>
        </is>
      </c>
      <c r="R154" t="inlineStr">
        <is>
          <t>Nkas Services, Orissa Stevedores</t>
        </is>
      </c>
      <c r="S154" t="inlineStr">
        <is>
          <t>5 named / 10</t>
        </is>
      </c>
      <c r="T154" t="n">
        <v>34.62</v>
      </c>
      <c r="U154" s="6">
        <f>IF(ISNUMBER(G154),MAX(MAX(G154,Settings!$B$13)*Settings!$B$7*Settings!$B$5,IF(ISNUMBER(Settings!$B$12),Settings!$B$12,0))*(1+IF(Settings!$B$11="Y",0,Settings!$B$10/100))+N(Settings!$B$9),"")</f>
        <v/>
      </c>
      <c r="W154" s="6">
        <f>IF(ISNUMBER(V154),IF(V154*Settings!$B$8&gt;1000,"beyond table",IFERROR(LOOKUP(V154*Settings!$B$8,'FOIS 145A'!$A$2:$A$22,'FOIS 145A'!$C$2:$C$22)*(1+IF(Settings!$B$11="Y",0,Settings!$B$10/100)),"")),"")</f>
        <v/>
      </c>
      <c r="X154" s="6">
        <f>IF(AND(ISNUMBER(U154),ISNUMBER(W154)),U154+W154,"")</f>
        <v/>
      </c>
      <c r="Y154">
        <f>Settings!$B$6</f>
        <v/>
      </c>
    </row>
    <row r="155">
      <c r="A155" t="inlineStr">
        <is>
          <t>No</t>
        </is>
      </c>
      <c r="B155" t="inlineStr">
        <is>
          <t>mine = coal company's tender in Jharkhand; named mine/plant is far</t>
        </is>
      </c>
      <c r="C155" t="inlineStr"/>
      <c r="E155" t="inlineStr"/>
      <c r="H155" t="inlineStr">
        <is>
          <t>16673704</t>
        </is>
      </c>
      <c r="I155" t="inlineStr">
        <is>
          <t>GEM/2026/B/7079681</t>
        </is>
      </c>
      <c r="J155" t="inlineStr">
        <is>
          <t>handling service, handling &amp; transport service, transport service, loading of coal into railway wagons at bachra spur siding by contractor’s pay loader including levelling of wa..</t>
        </is>
      </c>
      <c r="K155" t="inlineStr">
        <is>
          <t>Coal transport (RCR / siding)</t>
        </is>
      </c>
      <c r="L155" t="inlineStr">
        <is>
          <t>Central Coalfields Limited</t>
        </is>
      </c>
      <c r="M155" t="inlineStr">
        <is>
          <t>Jharkhand</t>
        </is>
      </c>
      <c r="N155" t="inlineStr">
        <is>
          <t>Chatra</t>
        </is>
      </c>
      <c r="O155" s="5" t="n">
        <v>46043</v>
      </c>
      <c r="P155" t="inlineStr">
        <is>
          <t>AOC</t>
        </is>
      </c>
      <c r="Q155" t="inlineStr">
        <is>
          <t>Deo Trading Company</t>
        </is>
      </c>
      <c r="R155" t="inlineStr"/>
      <c r="S155" t="inlineStr">
        <is>
          <t>5 named / 9</t>
        </is>
      </c>
      <c r="T155" t="n">
        <v>19.4</v>
      </c>
      <c r="U155" s="6">
        <f>IF(ISNUMBER(G155),MAX(MAX(G155,Settings!$B$13)*Settings!$B$7*Settings!$B$5,IF(ISNUMBER(Settings!$B$12),Settings!$B$12,0))*(1+IF(Settings!$B$11="Y",0,Settings!$B$10/100))+N(Settings!$B$9),"")</f>
        <v/>
      </c>
      <c r="W155" s="6">
        <f>IF(ISNUMBER(V155),IF(V155*Settings!$B$8&gt;1000,"beyond table",IFERROR(LOOKUP(V155*Settings!$B$8,'FOIS 145A'!$A$2:$A$22,'FOIS 145A'!$C$2:$C$22)*(1+IF(Settings!$B$11="Y",0,Settings!$B$10/100)),"")),"")</f>
        <v/>
      </c>
      <c r="X155" s="6">
        <f>IF(AND(ISNUMBER(U155),ISNUMBER(W155)),U155+W155,"")</f>
        <v/>
      </c>
      <c r="Y155">
        <f>Settings!$B$6</f>
        <v/>
      </c>
    </row>
    <row r="156">
      <c r="A156" t="inlineStr">
        <is>
          <t>No</t>
        </is>
      </c>
      <c r="B156" t="inlineStr">
        <is>
          <t>named mine/plant is far</t>
        </is>
      </c>
      <c r="C156" t="inlineStr"/>
      <c r="E156" t="inlineStr"/>
      <c r="H156" t="inlineStr">
        <is>
          <t>16881118</t>
        </is>
      </c>
      <c r="I156" t="inlineStr">
        <is>
          <t>GEM/2025/B/6995758</t>
        </is>
      </c>
      <c r="J156" t="inlineStr">
        <is>
          <t>handling &amp; transport service, loading, crushing and transportation of coal from govindpur phase-ii ocp to jarangdih railway siding pf-ii of jarangdih colliery at kathara area fo..</t>
        </is>
      </c>
      <c r="K156" t="inlineStr">
        <is>
          <t>Coal transport (RCR / siding)</t>
        </is>
      </c>
      <c r="L156" t="inlineStr">
        <is>
          <t>Central Coalfields Limited</t>
        </is>
      </c>
      <c r="M156" t="inlineStr">
        <is>
          <t>Jharkhand</t>
        </is>
      </c>
      <c r="N156" t="inlineStr">
        <is>
          <t>Bokaro</t>
        </is>
      </c>
      <c r="O156" s="5" t="n">
        <v>46018</v>
      </c>
      <c r="P156" t="inlineStr">
        <is>
          <t>AOC</t>
        </is>
      </c>
      <c r="Q156" t="inlineStr">
        <is>
          <t>Pandaveswar Mining And Industrial Works</t>
        </is>
      </c>
      <c r="R156" t="inlineStr"/>
      <c r="S156" t="inlineStr">
        <is>
          <t>5 named / 11</t>
        </is>
      </c>
      <c r="T156" t="n">
        <v>83.31</v>
      </c>
      <c r="U156" s="6">
        <f>IF(ISNUMBER(G156),MAX(MAX(G156,Settings!$B$13)*Settings!$B$7*Settings!$B$5,IF(ISNUMBER(Settings!$B$12),Settings!$B$12,0))*(1+IF(Settings!$B$11="Y",0,Settings!$B$10/100))+N(Settings!$B$9),"")</f>
        <v/>
      </c>
      <c r="W156" s="6">
        <f>IF(ISNUMBER(V156),IF(V156*Settings!$B$8&gt;1000,"beyond table",IFERROR(LOOKUP(V156*Settings!$B$8,'FOIS 145A'!$A$2:$A$22,'FOIS 145A'!$C$2:$C$22)*(1+IF(Settings!$B$11="Y",0,Settings!$B$10/100)),"")),"")</f>
        <v/>
      </c>
      <c r="X156" s="6">
        <f>IF(AND(ISNUMBER(U156),ISNUMBER(W156)),U156+W156,"")</f>
        <v/>
      </c>
      <c r="Y156">
        <f>Settings!$B$6</f>
        <v/>
      </c>
    </row>
    <row r="157">
      <c r="A157" t="inlineStr">
        <is>
          <t>No</t>
        </is>
      </c>
      <c r="B157" t="inlineStr">
        <is>
          <t>named mine/plant is far</t>
        </is>
      </c>
      <c r="C157" t="inlineStr"/>
      <c r="E157" t="inlineStr"/>
      <c r="H157" t="inlineStr">
        <is>
          <t>16981574</t>
        </is>
      </c>
      <c r="I157" t="inlineStr">
        <is>
          <t>GEM/2025/B/6973833</t>
        </is>
      </c>
      <c r="J157" t="inlineStr">
        <is>
          <t>feeding of rom coal, crushing through mobile crusher, loading, and transporting (-)100 mm sized coal (in all dimensions) for quantity 12.0 lte from karma coal stock to kuju new siding (under topa ro-o</t>
        </is>
      </c>
      <c r="K157" t="inlineStr">
        <is>
          <t>Coal transport (RCR / siding)</t>
        </is>
      </c>
      <c r="L157" t="inlineStr">
        <is>
          <t>Central Coalfields Limited</t>
        </is>
      </c>
      <c r="M157" t="inlineStr">
        <is>
          <t>Jharkhand</t>
        </is>
      </c>
      <c r="N157" t="inlineStr">
        <is>
          <t>Ranchi</t>
        </is>
      </c>
      <c r="O157" s="5" t="n">
        <v>46013</v>
      </c>
      <c r="P157" t="inlineStr">
        <is>
          <t>AOC</t>
        </is>
      </c>
      <c r="Q157" t="inlineStr">
        <is>
          <t>Shai Transporter</t>
        </is>
      </c>
      <c r="R157" t="inlineStr"/>
      <c r="S157" t="inlineStr">
        <is>
          <t>5 named / 14</t>
        </is>
      </c>
      <c r="T157" t="n">
        <v>19.85</v>
      </c>
      <c r="U157" s="6">
        <f>IF(ISNUMBER(G157),MAX(MAX(G157,Settings!$B$13)*Settings!$B$7*Settings!$B$5,IF(ISNUMBER(Settings!$B$12),Settings!$B$12,0))*(1+IF(Settings!$B$11="Y",0,Settings!$B$10/100))+N(Settings!$B$9),"")</f>
        <v/>
      </c>
      <c r="W157" s="6">
        <f>IF(ISNUMBER(V157),IF(V157*Settings!$B$8&gt;1000,"beyond table",IFERROR(LOOKUP(V157*Settings!$B$8,'FOIS 145A'!$A$2:$A$22,'FOIS 145A'!$C$2:$C$22)*(1+IF(Settings!$B$11="Y",0,Settings!$B$10/100)),"")),"")</f>
        <v/>
      </c>
      <c r="X157" s="6">
        <f>IF(AND(ISNUMBER(U157),ISNUMBER(W157)),U157+W157,"")</f>
        <v/>
      </c>
      <c r="Y157">
        <f>Settings!$B$6</f>
        <v/>
      </c>
    </row>
    <row r="158">
      <c r="A158" t="inlineStr">
        <is>
          <t>No</t>
        </is>
      </c>
      <c r="B158" t="inlineStr">
        <is>
          <t>mine = coal company's tender in West Bengal; named mine/plant is far</t>
        </is>
      </c>
      <c r="C158" t="inlineStr"/>
      <c r="E158" t="inlineStr"/>
      <c r="H158" t="inlineStr">
        <is>
          <t>15728290</t>
        </is>
      </c>
      <c r="I158" t="inlineStr">
        <is>
          <t>GEM/2025/B/6888474</t>
        </is>
      </c>
      <c r="J158" t="inlineStr">
        <is>
          <t>loading, crushing &amp; transportation of coal to siding</t>
        </is>
      </c>
      <c r="K158" t="inlineStr">
        <is>
          <t>Coal transport (RCR / siding)</t>
        </is>
      </c>
      <c r="L158" t="inlineStr">
        <is>
          <t>Eastern Coal Fields Limited</t>
        </is>
      </c>
      <c r="M158" t="inlineStr">
        <is>
          <t>West Bengal</t>
        </is>
      </c>
      <c r="N158" t="inlineStr">
        <is>
          <t>Bardhaman</t>
        </is>
      </c>
      <c r="O158" s="5" t="n">
        <v>45989</v>
      </c>
      <c r="P158" t="inlineStr">
        <is>
          <t>AOC</t>
        </is>
      </c>
      <c r="Q158" t="inlineStr">
        <is>
          <t>M/S United Coal Carriers</t>
        </is>
      </c>
      <c r="R158" t="inlineStr">
        <is>
          <t>United Coal Carriers</t>
        </is>
      </c>
      <c r="S158" t="inlineStr">
        <is>
          <t>3 named / 3</t>
        </is>
      </c>
      <c r="T158" t="n">
        <v>0.62</v>
      </c>
      <c r="U158" s="6">
        <f>IF(ISNUMBER(G158),MAX(MAX(G158,Settings!$B$13)*Settings!$B$7*Settings!$B$5,IF(ISNUMBER(Settings!$B$12),Settings!$B$12,0))*(1+IF(Settings!$B$11="Y",0,Settings!$B$10/100))+N(Settings!$B$9),"")</f>
        <v/>
      </c>
      <c r="W158" s="6">
        <f>IF(ISNUMBER(V158),IF(V158*Settings!$B$8&gt;1000,"beyond table",IFERROR(LOOKUP(V158*Settings!$B$8,'FOIS 145A'!$A$2:$A$22,'FOIS 145A'!$C$2:$C$22)*(1+IF(Settings!$B$11="Y",0,Settings!$B$10/100)),"")),"")</f>
        <v/>
      </c>
      <c r="X158" s="6">
        <f>IF(AND(ISNUMBER(U158),ISNUMBER(W158)),U158+W158,"")</f>
        <v/>
      </c>
      <c r="Y158">
        <f>Settings!$B$6</f>
        <v/>
      </c>
    </row>
    <row r="159">
      <c r="A159" t="inlineStr">
        <is>
          <t>No</t>
        </is>
      </c>
      <c r="B159" t="inlineStr">
        <is>
          <t>named mine/plant is far</t>
        </is>
      </c>
      <c r="C159" t="inlineStr"/>
      <c r="E159" t="inlineStr"/>
      <c r="H159" t="inlineStr">
        <is>
          <t>15593413</t>
        </is>
      </c>
      <c r="I159" t="inlineStr">
        <is>
          <t>GEM/2025/B/6695200</t>
        </is>
      </c>
      <c r="J159" t="inlineStr">
        <is>
          <t>coal transportation from surface coal yard of kerandari to ntpc north karanpura or to tori  any other siding including maintenance of siding &amp; associated miscellaneous works for a period of 01 year</t>
        </is>
      </c>
      <c r="K159" t="inlineStr">
        <is>
          <t>Coal transport (RCR / siding)</t>
        </is>
      </c>
      <c r="L159" t="inlineStr">
        <is>
          <t>National Thermal Power Corporation Limited</t>
        </is>
      </c>
      <c r="M159" t="inlineStr">
        <is>
          <t>Jharkhand</t>
        </is>
      </c>
      <c r="N159" t="inlineStr">
        <is>
          <t>Hazaribagh</t>
        </is>
      </c>
      <c r="O159" s="5" t="n">
        <v>45938</v>
      </c>
      <c r="P159" t="inlineStr">
        <is>
          <t>Financial</t>
        </is>
      </c>
      <c r="Q159" t="inlineStr">
        <is>
          <t>-</t>
        </is>
      </c>
      <c r="R159" t="inlineStr">
        <is>
          <t>Nkas Services</t>
        </is>
      </c>
      <c r="S159" t="inlineStr">
        <is>
          <t>5 named / 9</t>
        </is>
      </c>
      <c r="U159" s="6">
        <f>IF(ISNUMBER(G159),MAX(MAX(G159,Settings!$B$13)*Settings!$B$7*Settings!$B$5,IF(ISNUMBER(Settings!$B$12),Settings!$B$12,0))*(1+IF(Settings!$B$11="Y",0,Settings!$B$10/100))+N(Settings!$B$9),"")</f>
        <v/>
      </c>
      <c r="W159" s="6">
        <f>IF(ISNUMBER(V159),IF(V159*Settings!$B$8&gt;1000,"beyond table",IFERROR(LOOKUP(V159*Settings!$B$8,'FOIS 145A'!$A$2:$A$22,'FOIS 145A'!$C$2:$C$22)*(1+IF(Settings!$B$11="Y",0,Settings!$B$10/100)),"")),"")</f>
        <v/>
      </c>
      <c r="X159" s="6">
        <f>IF(AND(ISNUMBER(U159),ISNUMBER(W159)),U159+W159,"")</f>
        <v/>
      </c>
      <c r="Y159">
        <f>Settings!$B$6</f>
        <v/>
      </c>
    </row>
    <row r="160">
      <c r="A160" t="inlineStr">
        <is>
          <t>No</t>
        </is>
      </c>
      <c r="B160" t="inlineStr">
        <is>
          <t>named mine/plant is far</t>
        </is>
      </c>
      <c r="C160" t="inlineStr"/>
      <c r="E160" t="inlineStr"/>
      <c r="H160" t="inlineStr">
        <is>
          <t>15640140</t>
        </is>
      </c>
      <c r="I160" t="inlineStr">
        <is>
          <t>GEM/2025/B/6614904</t>
        </is>
      </c>
      <c r="J160" t="inlineStr">
        <is>
          <t>coal transportation from cbcmp mines to bachra railway siding and north karanpura stpp for a period of 01 year</t>
        </is>
      </c>
      <c r="K160" t="inlineStr">
        <is>
          <t>Coal transport (RCR / siding)</t>
        </is>
      </c>
      <c r="L160" t="inlineStr">
        <is>
          <t>National Thermal Power Corporation Limited</t>
        </is>
      </c>
      <c r="M160" t="inlineStr">
        <is>
          <t>Jharkhand</t>
        </is>
      </c>
      <c r="N160" t="inlineStr">
        <is>
          <t>Hazaribagh</t>
        </is>
      </c>
      <c r="O160" s="5" t="n">
        <v>45937</v>
      </c>
      <c r="P160" t="inlineStr">
        <is>
          <t>Financial</t>
        </is>
      </c>
      <c r="Q160" t="inlineStr">
        <is>
          <t>-</t>
        </is>
      </c>
      <c r="R160" t="inlineStr">
        <is>
          <t>Nkas Services</t>
        </is>
      </c>
      <c r="S160" t="inlineStr">
        <is>
          <t>5 named / 11</t>
        </is>
      </c>
      <c r="U160" s="6">
        <f>IF(ISNUMBER(G160),MAX(MAX(G160,Settings!$B$13)*Settings!$B$7*Settings!$B$5,IF(ISNUMBER(Settings!$B$12),Settings!$B$12,0))*(1+IF(Settings!$B$11="Y",0,Settings!$B$10/100))+N(Settings!$B$9),"")</f>
        <v/>
      </c>
      <c r="W160" s="6">
        <f>IF(ISNUMBER(V160),IF(V160*Settings!$B$8&gt;1000,"beyond table",IFERROR(LOOKUP(V160*Settings!$B$8,'FOIS 145A'!$A$2:$A$22,'FOIS 145A'!$C$2:$C$22)*(1+IF(Settings!$B$11="Y",0,Settings!$B$10/100)),"")),"")</f>
        <v/>
      </c>
      <c r="X160" s="6">
        <f>IF(AND(ISNUMBER(U160),ISNUMBER(W160)),U160+W160,"")</f>
        <v/>
      </c>
      <c r="Y160">
        <f>Settings!$B$6</f>
        <v/>
      </c>
    </row>
    <row r="161">
      <c r="A161" t="inlineStr">
        <is>
          <t>No</t>
        </is>
      </c>
      <c r="B161" t="inlineStr">
        <is>
          <t>named mine/plant is far</t>
        </is>
      </c>
      <c r="C161" t="inlineStr"/>
      <c r="E161" t="inlineStr"/>
      <c r="H161" t="inlineStr">
        <is>
          <t>15629000</t>
        </is>
      </c>
      <c r="I161" t="inlineStr">
        <is>
          <t>GEM/2025/B/6612750</t>
        </is>
      </c>
      <c r="J161" t="inlineStr">
        <is>
          <t>loading, transportation, unloading and wagon loading of coal from surface coal yard of pakri barwadih coal mining project and tp10 stockyard to banadag railway siding for a period of 12 months</t>
        </is>
      </c>
      <c r="K161" t="inlineStr">
        <is>
          <t>Coal transport (RCR / siding)</t>
        </is>
      </c>
      <c r="L161" t="inlineStr">
        <is>
          <t>National Thermal Power Corporation Limited</t>
        </is>
      </c>
      <c r="M161" t="inlineStr">
        <is>
          <t>Jharkhand</t>
        </is>
      </c>
      <c r="N161" t="inlineStr">
        <is>
          <t>Hazaribagh</t>
        </is>
      </c>
      <c r="O161" s="5" t="n">
        <v>45929</v>
      </c>
      <c r="P161" t="inlineStr">
        <is>
          <t>Financial</t>
        </is>
      </c>
      <c r="Q161" t="inlineStr">
        <is>
          <t>-</t>
        </is>
      </c>
      <c r="R161" t="inlineStr"/>
      <c r="S161" t="inlineStr">
        <is>
          <t>5 named / 14</t>
        </is>
      </c>
      <c r="U161" s="6">
        <f>IF(ISNUMBER(G161),MAX(MAX(G161,Settings!$B$13)*Settings!$B$7*Settings!$B$5,IF(ISNUMBER(Settings!$B$12),Settings!$B$12,0))*(1+IF(Settings!$B$11="Y",0,Settings!$B$10/100))+N(Settings!$B$9),"")</f>
        <v/>
      </c>
      <c r="W161" s="6">
        <f>IF(ISNUMBER(V161),IF(V161*Settings!$B$8&gt;1000,"beyond table",IFERROR(LOOKUP(V161*Settings!$B$8,'FOIS 145A'!$A$2:$A$22,'FOIS 145A'!$C$2:$C$22)*(1+IF(Settings!$B$11="Y",0,Settings!$B$10/100)),"")),"")</f>
        <v/>
      </c>
      <c r="X161" s="6">
        <f>IF(AND(ISNUMBER(U161),ISNUMBER(W161)),U161+W161,"")</f>
        <v/>
      </c>
      <c r="Y161">
        <f>Settings!$B$6</f>
        <v/>
      </c>
    </row>
    <row r="162">
      <c r="A162" t="inlineStr">
        <is>
          <t>No</t>
        </is>
      </c>
      <c r="B162" t="inlineStr">
        <is>
          <t>plant = tender city in Jharkhand; named mine/plant is far</t>
        </is>
      </c>
      <c r="C162" t="inlineStr"/>
      <c r="E162" t="inlineStr"/>
      <c r="H162" t="inlineStr">
        <is>
          <t>15680743</t>
        </is>
      </c>
      <c r="I162" t="inlineStr">
        <is>
          <t>GEM/2025/B/6594464</t>
        </is>
      </c>
      <c r="J162" t="inlineStr">
        <is>
          <t>loading, transportation, unloading and wagon loading of coal from surface coal yard of pb northwest coal mining project to banadag railway siding including maintenance of siding &amp; associated miscellan</t>
        </is>
      </c>
      <c r="K162" t="inlineStr">
        <is>
          <t>Coal transport (RCR / siding)</t>
        </is>
      </c>
      <c r="L162" t="inlineStr">
        <is>
          <t>National Thermal Power Corporation Limited</t>
        </is>
      </c>
      <c r="M162" t="inlineStr">
        <is>
          <t>Jharkhand</t>
        </is>
      </c>
      <c r="N162" t="inlineStr">
        <is>
          <t>Hazaribagh</t>
        </is>
      </c>
      <c r="O162" s="5" t="n">
        <v>45929</v>
      </c>
      <c r="P162" t="inlineStr">
        <is>
          <t>Financial</t>
        </is>
      </c>
      <c r="Q162" t="inlineStr">
        <is>
          <t>-</t>
        </is>
      </c>
      <c r="R162" t="inlineStr">
        <is>
          <t>Nkas Services</t>
        </is>
      </c>
      <c r="S162" t="inlineStr">
        <is>
          <t>5 named / 11</t>
        </is>
      </c>
      <c r="U162" s="6">
        <f>IF(ISNUMBER(G162),MAX(MAX(G162,Settings!$B$13)*Settings!$B$7*Settings!$B$5,IF(ISNUMBER(Settings!$B$12),Settings!$B$12,0))*(1+IF(Settings!$B$11="Y",0,Settings!$B$10/100))+N(Settings!$B$9),"")</f>
        <v/>
      </c>
      <c r="W162" s="6">
        <f>IF(ISNUMBER(V162),IF(V162*Settings!$B$8&gt;1000,"beyond table",IFERROR(LOOKUP(V162*Settings!$B$8,'FOIS 145A'!$A$2:$A$22,'FOIS 145A'!$C$2:$C$22)*(1+IF(Settings!$B$11="Y",0,Settings!$B$10/100)),"")),"")</f>
        <v/>
      </c>
      <c r="X162" s="6">
        <f>IF(AND(ISNUMBER(U162),ISNUMBER(W162)),U162+W162,"")</f>
        <v/>
      </c>
      <c r="Y162">
        <f>Settings!$B$6</f>
        <v/>
      </c>
    </row>
    <row r="163">
      <c r="A163" t="inlineStr">
        <is>
          <t>No</t>
        </is>
      </c>
      <c r="B163" t="inlineStr">
        <is>
          <t>plant = tender city in Jharkhand; named mine/plant is far</t>
        </is>
      </c>
      <c r="C163" t="inlineStr"/>
      <c r="E163" t="inlineStr"/>
      <c r="H163" t="inlineStr">
        <is>
          <t>14304659</t>
        </is>
      </c>
      <c r="I163" t="inlineStr">
        <is>
          <t>GEM/2025/B/6294275</t>
        </is>
      </c>
      <c r="J163" t="inlineStr">
        <is>
          <t>loading, transportation &amp; unloading and wagon loading of coal from surfac</t>
        </is>
      </c>
      <c r="K163" t="inlineStr">
        <is>
          <t>Coal transport (RCR / siding)</t>
        </is>
      </c>
      <c r="L163" t="inlineStr">
        <is>
          <t>National Thermal Power Corporation Limited</t>
        </is>
      </c>
      <c r="M163" t="inlineStr">
        <is>
          <t>Jharkhand</t>
        </is>
      </c>
      <c r="N163" t="inlineStr">
        <is>
          <t>Hazaribagh</t>
        </is>
      </c>
      <c r="O163" s="5" t="n">
        <v>45839</v>
      </c>
      <c r="P163" t="inlineStr">
        <is>
          <t>AOC</t>
        </is>
      </c>
      <c r="Q163" t="inlineStr">
        <is>
          <t>Godavari Commodities Limited</t>
        </is>
      </c>
      <c r="R163" t="inlineStr">
        <is>
          <t>Godavari Commodities</t>
        </is>
      </c>
      <c r="S163" t="inlineStr">
        <is>
          <t>5 named / 9</t>
        </is>
      </c>
      <c r="T163" t="n">
        <v>218.44</v>
      </c>
      <c r="U163" s="6">
        <f>IF(ISNUMBER(G163),MAX(MAX(G163,Settings!$B$13)*Settings!$B$7*Settings!$B$5,IF(ISNUMBER(Settings!$B$12),Settings!$B$12,0))*(1+IF(Settings!$B$11="Y",0,Settings!$B$10/100))+N(Settings!$B$9),"")</f>
        <v/>
      </c>
      <c r="W163" s="6">
        <f>IF(ISNUMBER(V163),IF(V163*Settings!$B$8&gt;1000,"beyond table",IFERROR(LOOKUP(V163*Settings!$B$8,'FOIS 145A'!$A$2:$A$22,'FOIS 145A'!$C$2:$C$22)*(1+IF(Settings!$B$11="Y",0,Settings!$B$10/100)),"")),"")</f>
        <v/>
      </c>
      <c r="X163" s="6">
        <f>IF(AND(ISNUMBER(U163),ISNUMBER(W163)),U163+W163,"")</f>
        <v/>
      </c>
      <c r="Y163">
        <f>Settings!$B$6</f>
        <v/>
      </c>
    </row>
    <row r="164">
      <c r="A164" t="inlineStr">
        <is>
          <t>No</t>
        </is>
      </c>
      <c r="B164" t="inlineStr">
        <is>
          <t>plant = tender city in Jharkhand; named mine/plant is far</t>
        </is>
      </c>
      <c r="C164" t="inlineStr"/>
      <c r="E164" t="inlineStr"/>
      <c r="H164" t="inlineStr">
        <is>
          <t>14052202</t>
        </is>
      </c>
      <c r="I164" t="inlineStr">
        <is>
          <t>GEM/2025/B/6282173</t>
        </is>
      </c>
      <c r="J164" t="inlineStr">
        <is>
          <t>dispatch of coal through rls system for a period of 5 months</t>
        </is>
      </c>
      <c r="K164" t="inlineStr">
        <is>
          <t>Coal transport (RCR / siding)</t>
        </is>
      </c>
      <c r="L164" t="inlineStr">
        <is>
          <t>National Thermal Power Corporation Limited</t>
        </is>
      </c>
      <c r="M164" t="inlineStr">
        <is>
          <t>Jharkhand</t>
        </is>
      </c>
      <c r="N164" t="inlineStr">
        <is>
          <t>Ranchi</t>
        </is>
      </c>
      <c r="O164" s="5" t="n">
        <v>45815</v>
      </c>
      <c r="P164" t="inlineStr">
        <is>
          <t>AOC</t>
        </is>
      </c>
      <c r="Q164" t="inlineStr">
        <is>
          <t>Thriveni Earthmovers Private Limited</t>
        </is>
      </c>
      <c r="R164" t="inlineStr">
        <is>
          <t>Godavari Commodities, Sangita Sales</t>
        </is>
      </c>
      <c r="S164" t="inlineStr">
        <is>
          <t>5 named / 5</t>
        </is>
      </c>
      <c r="T164" t="n">
        <v>3.98</v>
      </c>
      <c r="U164" s="6">
        <f>IF(ISNUMBER(G164),MAX(MAX(G164,Settings!$B$13)*Settings!$B$7*Settings!$B$5,IF(ISNUMBER(Settings!$B$12),Settings!$B$12,0))*(1+IF(Settings!$B$11="Y",0,Settings!$B$10/100))+N(Settings!$B$9),"")</f>
        <v/>
      </c>
      <c r="W164" s="6">
        <f>IF(ISNUMBER(V164),IF(V164*Settings!$B$8&gt;1000,"beyond table",IFERROR(LOOKUP(V164*Settings!$B$8,'FOIS 145A'!$A$2:$A$22,'FOIS 145A'!$C$2:$C$22)*(1+IF(Settings!$B$11="Y",0,Settings!$B$10/100)),"")),"")</f>
        <v/>
      </c>
      <c r="X164" s="6">
        <f>IF(AND(ISNUMBER(U164),ISNUMBER(W164)),U164+W164,"")</f>
        <v/>
      </c>
      <c r="Y164">
        <f>Settings!$B$6</f>
        <v/>
      </c>
    </row>
    <row r="165">
      <c r="A165" t="inlineStr">
        <is>
          <t>No</t>
        </is>
      </c>
      <c r="B165" t="inlineStr">
        <is>
          <t>plant = tender city in Haryana; named mine/plant is far</t>
        </is>
      </c>
      <c r="C165" t="inlineStr"/>
      <c r="E165" t="inlineStr"/>
      <c r="H165" t="inlineStr">
        <is>
          <t>13709349</t>
        </is>
      </c>
      <c r="I165" t="inlineStr">
        <is>
          <t>2025_HBC_443886_1</t>
        </is>
      </c>
      <c r="J165" t="inlineStr">
        <is>
          <t>engagement of agency for lifting of 9.0 lt coal (road-cum-rail mode) from mines of ccl, ranchi, handling and transportation of the same to railway goodshed sidings and loading in the railway rakes for</t>
        </is>
      </c>
      <c r="K165" t="inlineStr">
        <is>
          <t>Coal transport (RCR / siding)</t>
        </is>
      </c>
      <c r="L165" t="inlineStr">
        <is>
          <t>Haryana Power Generation Corporation Limited</t>
        </is>
      </c>
      <c r="M165" t="inlineStr">
        <is>
          <t>Haryana</t>
        </is>
      </c>
      <c r="N165" t="inlineStr">
        <is>
          <t>Panchkula</t>
        </is>
      </c>
      <c r="O165" s="5" t="n">
        <v>45805</v>
      </c>
      <c r="P165" t="inlineStr">
        <is>
          <t>AOC</t>
        </is>
      </c>
      <c r="Q165" t="inlineStr">
        <is>
          <t>Aka Logistics Private Limited, Godavari Commodities Limited, Mohit Minerals Limited</t>
        </is>
      </c>
      <c r="R165" t="inlineStr">
        <is>
          <t>Godavari Commodities, Mohit Minerals</t>
        </is>
      </c>
      <c r="S165" t="inlineStr">
        <is>
          <t>4 named / 4</t>
        </is>
      </c>
      <c r="T165" t="n">
        <v>28.02</v>
      </c>
      <c r="U165" s="6">
        <f>IF(ISNUMBER(G165),MAX(MAX(G165,Settings!$B$13)*Settings!$B$7*Settings!$B$5,IF(ISNUMBER(Settings!$B$12),Settings!$B$12,0))*(1+IF(Settings!$B$11="Y",0,Settings!$B$10/100))+N(Settings!$B$9),"")</f>
        <v/>
      </c>
      <c r="W165" s="6">
        <f>IF(ISNUMBER(V165),IF(V165*Settings!$B$8&gt;1000,"beyond table",IFERROR(LOOKUP(V165*Settings!$B$8,'FOIS 145A'!$A$2:$A$22,'FOIS 145A'!$C$2:$C$22)*(1+IF(Settings!$B$11="Y",0,Settings!$B$10/100)),"")),"")</f>
        <v/>
      </c>
      <c r="X165" s="6">
        <f>IF(AND(ISNUMBER(U165),ISNUMBER(W165)),U165+W165,"")</f>
        <v/>
      </c>
      <c r="Y165">
        <f>Settings!$B$6</f>
        <v/>
      </c>
    </row>
    <row r="166">
      <c r="A166" t="inlineStr">
        <is>
          <t>No</t>
        </is>
      </c>
      <c r="B166" t="inlineStr">
        <is>
          <t>plant = tender city in Madhya Pradesh; named mine/plant is far</t>
        </is>
      </c>
      <c r="C166" t="inlineStr"/>
      <c r="E166" t="inlineStr"/>
      <c r="H166" t="inlineStr">
        <is>
          <t>14500092</t>
        </is>
      </c>
      <c r="I166" t="inlineStr">
        <is>
          <t>2025_JPL_229882_1</t>
        </is>
      </c>
      <c r="J166" t="inlineStr">
        <is>
          <t>rate contract for secl kusmunda gevra dipka rcr works</t>
        </is>
      </c>
      <c r="K166" t="inlineStr">
        <is>
          <t>Coal transport (RCR / siding)</t>
        </is>
      </c>
      <c r="L166" t="inlineStr">
        <is>
          <t>Jhabua Power Limited</t>
        </is>
      </c>
      <c r="M166" t="inlineStr">
        <is>
          <t>Madhya Pradesh</t>
        </is>
      </c>
      <c r="N166" t="inlineStr">
        <is>
          <t>Seoni</t>
        </is>
      </c>
      <c r="O166" s="5" t="n">
        <v>45752</v>
      </c>
      <c r="P166" t="inlineStr">
        <is>
          <t>Financial</t>
        </is>
      </c>
      <c r="Q166" t="inlineStr">
        <is>
          <t>-</t>
        </is>
      </c>
      <c r="R166" t="inlineStr">
        <is>
          <t>Indermani / Indramani</t>
        </is>
      </c>
      <c r="S166" t="inlineStr">
        <is>
          <t>5 named / 11</t>
        </is>
      </c>
      <c r="U166" s="6">
        <f>IF(ISNUMBER(G166),MAX(MAX(G166,Settings!$B$13)*Settings!$B$7*Settings!$B$5,IF(ISNUMBER(Settings!$B$12),Settings!$B$12,0))*(1+IF(Settings!$B$11="Y",0,Settings!$B$10/100))+N(Settings!$B$9),"")</f>
        <v/>
      </c>
      <c r="W166" s="6">
        <f>IF(ISNUMBER(V166),IF(V166*Settings!$B$8&gt;1000,"beyond table",IFERROR(LOOKUP(V166*Settings!$B$8,'FOIS 145A'!$A$2:$A$22,'FOIS 145A'!$C$2:$C$22)*(1+IF(Settings!$B$11="Y",0,Settings!$B$10/100)),"")),"")</f>
        <v/>
      </c>
      <c r="X166" s="6">
        <f>IF(AND(ISNUMBER(U166),ISNUMBER(W166)),U166+W166,"")</f>
        <v/>
      </c>
      <c r="Y166">
        <f>Settings!$B$6</f>
        <v/>
      </c>
    </row>
    <row r="167">
      <c r="A167" t="inlineStr">
        <is>
          <t>No</t>
        </is>
      </c>
      <c r="B167" t="inlineStr">
        <is>
          <t>plant = tender city in Uttar Pradesh; named mine/plant is far</t>
        </is>
      </c>
      <c r="C167" t="inlineStr"/>
      <c r="E167" t="inlineStr"/>
      <c r="H167" t="inlineStr">
        <is>
          <t>14833285</t>
        </is>
      </c>
      <c r="I167" t="inlineStr">
        <is>
          <t>T-035-2024-25</t>
        </is>
      </c>
      <c r="J167" t="inlineStr">
        <is>
          <t>loading of coal from jayant mine of ncl, transportation of coal from jayant mine to nearest rrailway goods siding, unloading of coal and loading of coal into railway wagons underroad – cum – rail (rcr</t>
        </is>
      </c>
      <c r="K167" t="inlineStr">
        <is>
          <t>Coal transport (RCR / siding)</t>
        </is>
      </c>
      <c r="L167" t="inlineStr">
        <is>
          <t>Neyveli Uttar Pradesh Power Limited</t>
        </is>
      </c>
      <c r="M167" t="inlineStr">
        <is>
          <t>Uttar Pradesh</t>
        </is>
      </c>
      <c r="N167" t="inlineStr">
        <is>
          <t>Kanpur</t>
        </is>
      </c>
      <c r="O167" s="5" t="n">
        <v>45700</v>
      </c>
      <c r="P167" t="inlineStr">
        <is>
          <t>AOC</t>
        </is>
      </c>
      <c r="Q167" t="inlineStr">
        <is>
          <t>Jai Ambey Roadlines Private Limited</t>
        </is>
      </c>
      <c r="R167" t="inlineStr"/>
      <c r="S167" t="inlineStr">
        <is>
          <t>1 named / 1</t>
        </is>
      </c>
      <c r="T167" t="n">
        <v>4.15</v>
      </c>
      <c r="U167" s="6">
        <f>IF(ISNUMBER(G167),MAX(MAX(G167,Settings!$B$13)*Settings!$B$7*Settings!$B$5,IF(ISNUMBER(Settings!$B$12),Settings!$B$12,0))*(1+IF(Settings!$B$11="Y",0,Settings!$B$10/100))+N(Settings!$B$9),"")</f>
        <v/>
      </c>
      <c r="W167" s="6">
        <f>IF(ISNUMBER(V167),IF(V167*Settings!$B$8&gt;1000,"beyond table",IFERROR(LOOKUP(V167*Settings!$B$8,'FOIS 145A'!$A$2:$A$22,'FOIS 145A'!$C$2:$C$22)*(1+IF(Settings!$B$11="Y",0,Settings!$B$10/100)),"")),"")</f>
        <v/>
      </c>
      <c r="X167" s="6">
        <f>IF(AND(ISNUMBER(U167),ISNUMBER(W167)),U167+W167,"")</f>
        <v/>
      </c>
      <c r="Y167">
        <f>Settings!$B$6</f>
        <v/>
      </c>
    </row>
    <row r="168">
      <c r="A168" t="inlineStr">
        <is>
          <t>No</t>
        </is>
      </c>
      <c r="B168" t="inlineStr">
        <is>
          <t>plant = tender city in Jharkhand; named mine/plant is far</t>
        </is>
      </c>
      <c r="C168" t="inlineStr"/>
      <c r="E168" t="inlineStr"/>
      <c r="H168" t="inlineStr">
        <is>
          <t>14841539</t>
        </is>
      </c>
      <c r="I168" t="inlineStr">
        <is>
          <t>T-048-2024-25</t>
        </is>
      </c>
      <c r="J168" t="inlineStr">
        <is>
          <t>appointment of contractor for lifting andtransportation of e-auction coal from ncl minesto nuppl gtpp by road cum rail mode</t>
        </is>
      </c>
      <c r="K168" t="inlineStr">
        <is>
          <t>Coal transport (RCR / siding)</t>
        </is>
      </c>
      <c r="L168" t="inlineStr">
        <is>
          <t>Neyveli Uttar Pradesh Power Limited</t>
        </is>
      </c>
      <c r="M168" t="inlineStr">
        <is>
          <t>Jharkhand</t>
        </is>
      </c>
      <c r="N168" t="inlineStr">
        <is>
          <t>Multi Location</t>
        </is>
      </c>
      <c r="O168" s="5" t="n">
        <v>45688</v>
      </c>
      <c r="P168" t="inlineStr">
        <is>
          <t>AOC</t>
        </is>
      </c>
      <c r="Q168" t="inlineStr">
        <is>
          <t>Coal Hub Logistics Private Limited</t>
        </is>
      </c>
      <c r="R168" t="inlineStr"/>
      <c r="S168" t="inlineStr">
        <is>
          <t>1 named / 1</t>
        </is>
      </c>
      <c r="T168" t="n">
        <v>5.64</v>
      </c>
      <c r="U168" s="6">
        <f>IF(ISNUMBER(G168),MAX(MAX(G168,Settings!$B$13)*Settings!$B$7*Settings!$B$5,IF(ISNUMBER(Settings!$B$12),Settings!$B$12,0))*(1+IF(Settings!$B$11="Y",0,Settings!$B$10/100))+N(Settings!$B$9),"")</f>
        <v/>
      </c>
      <c r="W168" s="6">
        <f>IF(ISNUMBER(V168),IF(V168*Settings!$B$8&gt;1000,"beyond table",IFERROR(LOOKUP(V168*Settings!$B$8,'FOIS 145A'!$A$2:$A$22,'FOIS 145A'!$C$2:$C$22)*(1+IF(Settings!$B$11="Y",0,Settings!$B$10/100)),"")),"")</f>
        <v/>
      </c>
      <c r="X168" s="6">
        <f>IF(AND(ISNUMBER(U168),ISNUMBER(W168)),U168+W168,"")</f>
        <v/>
      </c>
      <c r="Y168">
        <f>Settings!$B$6</f>
        <v/>
      </c>
    </row>
    <row r="169">
      <c r="A169" t="inlineStr">
        <is>
          <t>No</t>
        </is>
      </c>
      <c r="B169" t="inlineStr">
        <is>
          <t>named mine/plant is far</t>
        </is>
      </c>
      <c r="C169" t="inlineStr"/>
      <c r="E169" t="inlineStr"/>
      <c r="H169" t="inlineStr">
        <is>
          <t>12576050</t>
        </is>
      </c>
      <c r="I169" t="inlineStr">
        <is>
          <t>GEM/2024/B/5735597</t>
        </is>
      </c>
      <c r="J169" t="inlineStr">
        <is>
          <t>dispatch of coal through rls system at banadag railway siding of pakri ba</t>
        </is>
      </c>
      <c r="K169" t="inlineStr">
        <is>
          <t>Coal transport (RCR / siding)</t>
        </is>
      </c>
      <c r="L169" t="inlineStr">
        <is>
          <t>National Thermal Power Corporation Limited</t>
        </is>
      </c>
      <c r="M169" t="inlineStr">
        <is>
          <t>Jharkhand</t>
        </is>
      </c>
      <c r="N169" t="inlineStr">
        <is>
          <t>Ranchi</t>
        </is>
      </c>
      <c r="O169" s="5" t="n">
        <v>45674</v>
      </c>
      <c r="P169" t="inlineStr">
        <is>
          <t>AOC</t>
        </is>
      </c>
      <c r="Q169" t="inlineStr">
        <is>
          <t>Jainandani Commodities Private Limited</t>
        </is>
      </c>
      <c r="R169" t="inlineStr">
        <is>
          <t>Godavari Commodities</t>
        </is>
      </c>
      <c r="S169" t="inlineStr">
        <is>
          <t>5 named / 15</t>
        </is>
      </c>
      <c r="T169" t="n">
        <v>17.01</v>
      </c>
      <c r="U169" s="6">
        <f>IF(ISNUMBER(G169),MAX(MAX(G169,Settings!$B$13)*Settings!$B$7*Settings!$B$5,IF(ISNUMBER(Settings!$B$12),Settings!$B$12,0))*(1+IF(Settings!$B$11="Y",0,Settings!$B$10/100))+N(Settings!$B$9),"")</f>
        <v/>
      </c>
      <c r="W169" s="6">
        <f>IF(ISNUMBER(V169),IF(V169*Settings!$B$8&gt;1000,"beyond table",IFERROR(LOOKUP(V169*Settings!$B$8,'FOIS 145A'!$A$2:$A$22,'FOIS 145A'!$C$2:$C$22)*(1+IF(Settings!$B$11="Y",0,Settings!$B$10/100)),"")),"")</f>
        <v/>
      </c>
      <c r="X169" s="6">
        <f>IF(AND(ISNUMBER(U169),ISNUMBER(W169)),U169+W169,"")</f>
        <v/>
      </c>
      <c r="Y169">
        <f>Settings!$B$6</f>
        <v/>
      </c>
    </row>
    <row r="170">
      <c r="A170" t="inlineStr">
        <is>
          <t>No</t>
        </is>
      </c>
      <c r="B170" t="inlineStr">
        <is>
          <t>named mine/plant is far</t>
        </is>
      </c>
      <c r="C170" t="inlineStr"/>
      <c r="E170" t="inlineStr"/>
      <c r="H170" t="inlineStr">
        <is>
          <t>18314236</t>
        </is>
      </c>
      <c r="I170" t="inlineStr">
        <is>
          <t>2026_NTPC_112009_1</t>
        </is>
      </c>
      <c r="J170" t="inlineStr">
        <is>
          <t>transportation of 164000 mt of coal from wcl mines penganga to ntpc</t>
        </is>
      </c>
      <c r="K170" t="inlineStr">
        <is>
          <t>Coal transport (road)</t>
        </is>
      </c>
      <c r="L170" t="inlineStr">
        <is>
          <t>National Thermal Power Corporation Limited</t>
        </is>
      </c>
      <c r="M170" t="inlineStr">
        <is>
          <t>Chhattisgarh</t>
        </is>
      </c>
      <c r="N170" t="inlineStr">
        <is>
          <t>Raipur</t>
        </is>
      </c>
      <c r="O170" s="5" t="n">
        <v>46290</v>
      </c>
      <c r="P170" t="inlineStr">
        <is>
          <t>AOC</t>
        </is>
      </c>
      <c r="Q170" t="inlineStr">
        <is>
          <t>Swami Fuels Private Limited</t>
        </is>
      </c>
      <c r="R170" t="inlineStr">
        <is>
          <t>Bharat Road Carrier, Godavari Commodities</t>
        </is>
      </c>
      <c r="S170" t="inlineStr">
        <is>
          <t>5 named / 18</t>
        </is>
      </c>
      <c r="T170" t="n">
        <v>1.03</v>
      </c>
      <c r="U170" s="6">
        <f>IF(ISNUMBER(G170),MAX(MAX(G170,Settings!$B$13)*Settings!$B$7*Settings!$B$5,IF(ISNUMBER(Settings!$B$12),Settings!$B$12,0))*(1+IF(Settings!$B$11="Y",0,Settings!$B$10/100))+N(Settings!$B$9),"")</f>
        <v/>
      </c>
      <c r="W170" s="6">
        <f>IF(ISNUMBER(V170),IF(V170*Settings!$B$8&gt;1000,"beyond table",IFERROR(LOOKUP(V170*Settings!$B$8,'FOIS 145A'!$A$2:$A$22,'FOIS 145A'!$C$2:$C$22)*(1+IF(Settings!$B$11="Y",0,Settings!$B$10/100)),"")),"")</f>
        <v/>
      </c>
      <c r="X170" s="6">
        <f>IF(AND(ISNUMBER(U170),ISNUMBER(W170)),U170+W170,"")</f>
        <v/>
      </c>
      <c r="Y170">
        <f>Settings!$B$6</f>
        <v/>
      </c>
    </row>
    <row r="171">
      <c r="A171" t="inlineStr">
        <is>
          <t>No</t>
        </is>
      </c>
      <c r="B171" t="inlineStr">
        <is>
          <t>named mine/plant is far</t>
        </is>
      </c>
      <c r="C171" t="inlineStr"/>
      <c r="E171" t="inlineStr"/>
      <c r="H171" t="inlineStr">
        <is>
          <t>18314233</t>
        </is>
      </c>
      <c r="I171" t="inlineStr">
        <is>
          <t>2026_NTPC_112050_1</t>
        </is>
      </c>
      <c r="J171" t="inlineStr">
        <is>
          <t>loading and transportation of 150000 mt coal from ukni deep mine of wcl</t>
        </is>
      </c>
      <c r="K171" t="inlineStr">
        <is>
          <t>Coal transport (road)</t>
        </is>
      </c>
      <c r="L171" t="inlineStr">
        <is>
          <t>National Thermal Power Corporation Limited</t>
        </is>
      </c>
      <c r="M171" t="inlineStr">
        <is>
          <t>Chhattisgarh</t>
        </is>
      </c>
      <c r="N171" t="inlineStr">
        <is>
          <t>Raipur</t>
        </is>
      </c>
      <c r="O171" s="5" t="n">
        <v>46290</v>
      </c>
      <c r="P171" t="inlineStr">
        <is>
          <t>AOC</t>
        </is>
      </c>
      <c r="Q171" t="inlineStr">
        <is>
          <t>Bharat Road Carrier Private Limited</t>
        </is>
      </c>
      <c r="R171" t="inlineStr">
        <is>
          <t>Bharat Road Carrier, Godavari Commodities</t>
        </is>
      </c>
      <c r="S171" t="inlineStr">
        <is>
          <t>5 named / 17</t>
        </is>
      </c>
      <c r="T171" t="n">
        <v>0.63</v>
      </c>
      <c r="U171" s="6">
        <f>IF(ISNUMBER(G171),MAX(MAX(G171,Settings!$B$13)*Settings!$B$7*Settings!$B$5,IF(ISNUMBER(Settings!$B$12),Settings!$B$12,0))*(1+IF(Settings!$B$11="Y",0,Settings!$B$10/100))+N(Settings!$B$9),"")</f>
        <v/>
      </c>
      <c r="W171" s="6">
        <f>IF(ISNUMBER(V171),IF(V171*Settings!$B$8&gt;1000,"beyond table",IFERROR(LOOKUP(V171*Settings!$B$8,'FOIS 145A'!$A$2:$A$22,'FOIS 145A'!$C$2:$C$22)*(1+IF(Settings!$B$11="Y",0,Settings!$B$10/100)),"")),"")</f>
        <v/>
      </c>
      <c r="X171" s="6">
        <f>IF(AND(ISNUMBER(U171),ISNUMBER(W171)),U171+W171,"")</f>
        <v/>
      </c>
      <c r="Y171">
        <f>Settings!$B$6</f>
        <v/>
      </c>
    </row>
    <row r="172">
      <c r="A172" t="inlineStr">
        <is>
          <t>No</t>
        </is>
      </c>
      <c r="B172" t="inlineStr">
        <is>
          <t>plant = tender city in Madhya Pradesh; named mine/plant is far</t>
        </is>
      </c>
      <c r="C172" t="inlineStr"/>
      <c r="E172" t="inlineStr"/>
      <c r="H172" t="inlineStr">
        <is>
          <t>18234064</t>
        </is>
      </c>
      <c r="I172" t="inlineStr">
        <is>
          <t>2026_NTPC_111980_1</t>
        </is>
      </c>
      <c r="J172" t="inlineStr">
        <is>
          <t>job contract for loading of coal, transportation from jayant west yard</t>
        </is>
      </c>
      <c r="K172" t="inlineStr">
        <is>
          <t>Coal transport (road)</t>
        </is>
      </c>
      <c r="L172" t="inlineStr">
        <is>
          <t>National Thermal Power Corporation Limited</t>
        </is>
      </c>
      <c r="M172" t="inlineStr">
        <is>
          <t>Madhya Pradesh</t>
        </is>
      </c>
      <c r="N172" t="inlineStr">
        <is>
          <t>Sidhi</t>
        </is>
      </c>
      <c r="O172" s="5" t="n">
        <v>46283</v>
      </c>
      <c r="P172" t="inlineStr">
        <is>
          <t>Financial</t>
        </is>
      </c>
      <c r="Q172" t="inlineStr">
        <is>
          <t>-</t>
        </is>
      </c>
      <c r="R172" t="inlineStr">
        <is>
          <t>Tirupati Minerals</t>
        </is>
      </c>
      <c r="S172" t="inlineStr">
        <is>
          <t>1 named / 1</t>
        </is>
      </c>
      <c r="U172" s="6">
        <f>IF(ISNUMBER(G172),MAX(MAX(G172,Settings!$B$13)*Settings!$B$7*Settings!$B$5,IF(ISNUMBER(Settings!$B$12),Settings!$B$12,0))*(1+IF(Settings!$B$11="Y",0,Settings!$B$10/100))+N(Settings!$B$9),"")</f>
        <v/>
      </c>
      <c r="W172" s="6">
        <f>IF(ISNUMBER(V172),IF(V172*Settings!$B$8&gt;1000,"beyond table",IFERROR(LOOKUP(V172*Settings!$B$8,'FOIS 145A'!$A$2:$A$22,'FOIS 145A'!$C$2:$C$22)*(1+IF(Settings!$B$11="Y",0,Settings!$B$10/100)),"")),"")</f>
        <v/>
      </c>
      <c r="X172" s="6">
        <f>IF(AND(ISNUMBER(U172),ISNUMBER(W172)),U172+W172,"")</f>
        <v/>
      </c>
      <c r="Y172">
        <f>Settings!$B$6</f>
        <v/>
      </c>
    </row>
    <row r="173">
      <c r="A173" t="inlineStr">
        <is>
          <t>No</t>
        </is>
      </c>
      <c r="B173" t="inlineStr">
        <is>
          <t>plant = tender city in Madhya Pradesh; named mine/plant is far</t>
        </is>
      </c>
      <c r="C173" t="inlineStr"/>
      <c r="E173" t="inlineStr"/>
      <c r="H173" t="inlineStr">
        <is>
          <t>18203732</t>
        </is>
      </c>
      <c r="I173" t="inlineStr">
        <is>
          <t>2026_NTPC_111865_1</t>
        </is>
      </c>
      <c r="J173" t="inlineStr">
        <is>
          <t>loading and transportation of coal from uk</t>
        </is>
      </c>
      <c r="K173" t="inlineStr">
        <is>
          <t>Coal transport (road)</t>
        </is>
      </c>
      <c r="L173" t="inlineStr">
        <is>
          <t>National Thermal Power Corporation Limited</t>
        </is>
      </c>
      <c r="M173" t="inlineStr">
        <is>
          <t>Madhya Pradesh</t>
        </is>
      </c>
      <c r="N173" t="inlineStr">
        <is>
          <t>Narsinghpur</t>
        </is>
      </c>
      <c r="O173" s="5" t="n">
        <v>46279</v>
      </c>
      <c r="P173" t="inlineStr">
        <is>
          <t>Financial</t>
        </is>
      </c>
      <c r="Q173" t="inlineStr">
        <is>
          <t>-</t>
        </is>
      </c>
      <c r="R173" t="inlineStr">
        <is>
          <t>Vikas Coal and Minerals</t>
        </is>
      </c>
      <c r="S173" t="inlineStr">
        <is>
          <t>1 named / 1</t>
        </is>
      </c>
      <c r="U173" s="6">
        <f>IF(ISNUMBER(G173),MAX(MAX(G173,Settings!$B$13)*Settings!$B$7*Settings!$B$5,IF(ISNUMBER(Settings!$B$12),Settings!$B$12,0))*(1+IF(Settings!$B$11="Y",0,Settings!$B$10/100))+N(Settings!$B$9),"")</f>
        <v/>
      </c>
      <c r="W173" s="6">
        <f>IF(ISNUMBER(V173),IF(V173*Settings!$B$8&gt;1000,"beyond table",IFERROR(LOOKUP(V173*Settings!$B$8,'FOIS 145A'!$A$2:$A$22,'FOIS 145A'!$C$2:$C$22)*(1+IF(Settings!$B$11="Y",0,Settings!$B$10/100)),"")),"")</f>
        <v/>
      </c>
      <c r="X173" s="6">
        <f>IF(AND(ISNUMBER(U173),ISNUMBER(W173)),U173+W173,"")</f>
        <v/>
      </c>
      <c r="Y173">
        <f>Settings!$B$6</f>
        <v/>
      </c>
    </row>
    <row r="174">
      <c r="A174" t="inlineStr">
        <is>
          <t>No</t>
        </is>
      </c>
      <c r="B174" t="inlineStr">
        <is>
          <t>named mine/plant is far</t>
        </is>
      </c>
      <c r="C174" t="inlineStr"/>
      <c r="E174" t="inlineStr"/>
      <c r="H174" t="inlineStr">
        <is>
          <t>18312061</t>
        </is>
      </c>
      <c r="I174" t="inlineStr">
        <is>
          <t>GEM/2026/B/7894662</t>
        </is>
      </c>
      <c r="J174" t="inlineStr">
        <is>
          <t>handling &amp; transport service, crushing of coal by deployment of hired fully mobile crusher and transportation of coal at makardhokda-i ocm of umrer area., for a period of 899 da..</t>
        </is>
      </c>
      <c r="K174" t="inlineStr">
        <is>
          <t>Coal transport (road)</t>
        </is>
      </c>
      <c r="L174" t="inlineStr">
        <is>
          <t>Western Coalfields Limited</t>
        </is>
      </c>
      <c r="M174" t="inlineStr">
        <is>
          <t>Maharashtra</t>
        </is>
      </c>
      <c r="N174" t="inlineStr">
        <is>
          <t>Nagpur</t>
        </is>
      </c>
      <c r="O174" s="5" t="n">
        <v>46258</v>
      </c>
      <c r="P174" t="inlineStr">
        <is>
          <t>Financial</t>
        </is>
      </c>
      <c r="Q174" t="inlineStr">
        <is>
          <t>-</t>
        </is>
      </c>
      <c r="R174" t="inlineStr"/>
      <c r="S174" t="inlineStr">
        <is>
          <t>5 named / 14</t>
        </is>
      </c>
      <c r="U174" s="6">
        <f>IF(ISNUMBER(G174),MAX(MAX(G174,Settings!$B$13)*Settings!$B$7*Settings!$B$5,IF(ISNUMBER(Settings!$B$12),Settings!$B$12,0))*(1+IF(Settings!$B$11="Y",0,Settings!$B$10/100))+N(Settings!$B$9),"")</f>
        <v/>
      </c>
      <c r="W174" s="6">
        <f>IF(ISNUMBER(V174),IF(V174*Settings!$B$8&gt;1000,"beyond table",IFERROR(LOOKUP(V174*Settings!$B$8,'FOIS 145A'!$A$2:$A$22,'FOIS 145A'!$C$2:$C$22)*(1+IF(Settings!$B$11="Y",0,Settings!$B$10/100)),"")),"")</f>
        <v/>
      </c>
      <c r="X174" s="6">
        <f>IF(AND(ISNUMBER(U174),ISNUMBER(W174)),U174+W174,"")</f>
        <v/>
      </c>
      <c r="Y174">
        <f>Settings!$B$6</f>
        <v/>
      </c>
    </row>
    <row r="175">
      <c r="A175" t="inlineStr">
        <is>
          <t>No</t>
        </is>
      </c>
      <c r="B175" t="inlineStr">
        <is>
          <t>named mine/plant is far</t>
        </is>
      </c>
      <c r="C175" t="inlineStr"/>
      <c r="E175" t="inlineStr"/>
      <c r="H175" t="inlineStr">
        <is>
          <t>18202192</t>
        </is>
      </c>
      <c r="I175" t="inlineStr">
        <is>
          <t>GEM/2026/B/7846340</t>
        </is>
      </c>
      <c r="J175" t="inlineStr">
        <is>
          <t>handling &amp; transport service, coal transportation and commissioning, installation &amp; operation of mobile crusher at ukni deep ocm of wani north area</t>
        </is>
      </c>
      <c r="K175" t="inlineStr">
        <is>
          <t>Coal transport (road)</t>
        </is>
      </c>
      <c r="L175" t="inlineStr">
        <is>
          <t>Western Coalfields Limited</t>
        </is>
      </c>
      <c r="M175" t="inlineStr">
        <is>
          <t>Maharashtra</t>
        </is>
      </c>
      <c r="N175" t="inlineStr">
        <is>
          <t>Yavatmal</t>
        </is>
      </c>
      <c r="O175" s="5" t="n">
        <v>46246</v>
      </c>
      <c r="P175" t="inlineStr">
        <is>
          <t>AOC</t>
        </is>
      </c>
      <c r="Q175" t="inlineStr">
        <is>
          <t>Mahavir Coal Resources Private Limited</t>
        </is>
      </c>
      <c r="R175" t="inlineStr"/>
      <c r="S175" t="inlineStr">
        <is>
          <t>5 named / 13</t>
        </is>
      </c>
      <c r="T175" t="n">
        <v>113.68</v>
      </c>
      <c r="U175" s="6">
        <f>IF(ISNUMBER(G175),MAX(MAX(G175,Settings!$B$13)*Settings!$B$7*Settings!$B$5,IF(ISNUMBER(Settings!$B$12),Settings!$B$12,0))*(1+IF(Settings!$B$11="Y",0,Settings!$B$10/100))+N(Settings!$B$9),"")</f>
        <v/>
      </c>
      <c r="W175" s="6">
        <f>IF(ISNUMBER(V175),IF(V175*Settings!$B$8&gt;1000,"beyond table",IFERROR(LOOKUP(V175*Settings!$B$8,'FOIS 145A'!$A$2:$A$22,'FOIS 145A'!$C$2:$C$22)*(1+IF(Settings!$B$11="Y",0,Settings!$B$10/100)),"")),"")</f>
        <v/>
      </c>
      <c r="X175" s="6">
        <f>IF(AND(ISNUMBER(U175),ISNUMBER(W175)),U175+W175,"")</f>
        <v/>
      </c>
      <c r="Y175">
        <f>Settings!$B$6</f>
        <v/>
      </c>
    </row>
    <row r="176">
      <c r="A176" t="inlineStr">
        <is>
          <t>No</t>
        </is>
      </c>
      <c r="B176" t="inlineStr">
        <is>
          <t>named mine/plant is far</t>
        </is>
      </c>
      <c r="C176" t="inlineStr"/>
      <c r="E176" t="inlineStr"/>
      <c r="H176" t="inlineStr">
        <is>
          <t>18305340</t>
        </is>
      </c>
      <c r="I176" t="inlineStr">
        <is>
          <t>GEM/2026/B/7846499</t>
        </is>
      </c>
      <c r="J176" t="inlineStr">
        <is>
          <t>handling &amp; transport service, coal transportation at ghonsa ocm of wani north area</t>
        </is>
      </c>
      <c r="K176" t="inlineStr">
        <is>
          <t>Coal transport (road)</t>
        </is>
      </c>
      <c r="L176" t="inlineStr">
        <is>
          <t>Western Coalfields Limited</t>
        </is>
      </c>
      <c r="M176" t="inlineStr">
        <is>
          <t>Maharashtra</t>
        </is>
      </c>
      <c r="N176" t="inlineStr">
        <is>
          <t>Yavatmal</t>
        </is>
      </c>
      <c r="O176" s="5" t="n">
        <v>46246</v>
      </c>
      <c r="P176" t="inlineStr">
        <is>
          <t>Financial</t>
        </is>
      </c>
      <c r="Q176" t="inlineStr">
        <is>
          <t>-</t>
        </is>
      </c>
      <c r="R176" t="inlineStr"/>
      <c r="S176" t="inlineStr">
        <is>
          <t>5 named / 12</t>
        </is>
      </c>
      <c r="U176" s="6">
        <f>IF(ISNUMBER(G176),MAX(MAX(G176,Settings!$B$13)*Settings!$B$7*Settings!$B$5,IF(ISNUMBER(Settings!$B$12),Settings!$B$12,0))*(1+IF(Settings!$B$11="Y",0,Settings!$B$10/100))+N(Settings!$B$9),"")</f>
        <v/>
      </c>
      <c r="W176" s="6">
        <f>IF(ISNUMBER(V176),IF(V176*Settings!$B$8&gt;1000,"beyond table",IFERROR(LOOKUP(V176*Settings!$B$8,'FOIS 145A'!$A$2:$A$22,'FOIS 145A'!$C$2:$C$22)*(1+IF(Settings!$B$11="Y",0,Settings!$B$10/100)),"")),"")</f>
        <v/>
      </c>
      <c r="X176" s="6">
        <f>IF(AND(ISNUMBER(U176),ISNUMBER(W176)),U176+W176,"")</f>
        <v/>
      </c>
      <c r="Y176">
        <f>Settings!$B$6</f>
        <v/>
      </c>
    </row>
    <row r="177">
      <c r="A177" t="inlineStr">
        <is>
          <t>No</t>
        </is>
      </c>
      <c r="B177" t="inlineStr">
        <is>
          <t>named mine/plant is far</t>
        </is>
      </c>
      <c r="C177" t="inlineStr"/>
      <c r="E177" t="inlineStr"/>
      <c r="H177" t="inlineStr">
        <is>
          <t>17921093</t>
        </is>
      </c>
      <c r="I177" t="inlineStr">
        <is>
          <t>2026_NTPC_110433_1</t>
        </is>
      </c>
      <c r="J177" t="inlineStr">
        <is>
          <t>coal transportation from magadh mine to nkstpp via balumath</t>
        </is>
      </c>
      <c r="K177" t="inlineStr">
        <is>
          <t>Coal transport (road)</t>
        </is>
      </c>
      <c r="L177" t="inlineStr">
        <is>
          <t>National Thermal Power Corporation Limited</t>
        </is>
      </c>
      <c r="M177" t="inlineStr">
        <is>
          <t>Jharkhand</t>
        </is>
      </c>
      <c r="N177" t="inlineStr">
        <is>
          <t>Latehar</t>
        </is>
      </c>
      <c r="O177" s="5" t="n">
        <v>46244</v>
      </c>
      <c r="P177" t="inlineStr">
        <is>
          <t>Financial</t>
        </is>
      </c>
      <c r="Q177" t="inlineStr">
        <is>
          <t>-</t>
        </is>
      </c>
      <c r="R177" t="inlineStr">
        <is>
          <t>Godavari Commodities, Nkas Services</t>
        </is>
      </c>
      <c r="S177" t="inlineStr">
        <is>
          <t>5 named / 9</t>
        </is>
      </c>
      <c r="U177" s="6">
        <f>IF(ISNUMBER(G177),MAX(MAX(G177,Settings!$B$13)*Settings!$B$7*Settings!$B$5,IF(ISNUMBER(Settings!$B$12),Settings!$B$12,0))*(1+IF(Settings!$B$11="Y",0,Settings!$B$10/100))+N(Settings!$B$9),"")</f>
        <v/>
      </c>
      <c r="W177" s="6">
        <f>IF(ISNUMBER(V177),IF(V177*Settings!$B$8&gt;1000,"beyond table",IFERROR(LOOKUP(V177*Settings!$B$8,'FOIS 145A'!$A$2:$A$22,'FOIS 145A'!$C$2:$C$22)*(1+IF(Settings!$B$11="Y",0,Settings!$B$10/100)),"")),"")</f>
        <v/>
      </c>
      <c r="X177" s="6">
        <f>IF(AND(ISNUMBER(U177),ISNUMBER(W177)),U177+W177,"")</f>
        <v/>
      </c>
      <c r="Y177">
        <f>Settings!$B$6</f>
        <v/>
      </c>
    </row>
    <row r="178">
      <c r="A178" t="inlineStr">
        <is>
          <t>No</t>
        </is>
      </c>
      <c r="B178" t="inlineStr">
        <is>
          <t>plant = tender city in Madhya Pradesh; named mine/plant is far</t>
        </is>
      </c>
      <c r="C178" t="inlineStr"/>
      <c r="E178" t="inlineStr"/>
      <c r="H178" t="inlineStr">
        <is>
          <t>17889178</t>
        </is>
      </c>
      <c r="I178" t="inlineStr">
        <is>
          <t>2026_MPPGC_517074_1</t>
        </is>
      </c>
      <c r="J178" t="inlineStr">
        <is>
          <t>transportation cum loading of coal from chute/hopper/ground at chhatarpur-i ugm, pathakhera area of m/s wcl to stps, sarni, through fully covered and sealed tippers/trucks, including unloading at coal</t>
        </is>
      </c>
      <c r="K178" t="inlineStr">
        <is>
          <t>Coal transport (road)</t>
        </is>
      </c>
      <c r="L178" t="inlineStr">
        <is>
          <t>Madhya Pradesh Power Generating Company Limited</t>
        </is>
      </c>
      <c r="M178" t="inlineStr">
        <is>
          <t>Madhya Pradesh</t>
        </is>
      </c>
      <c r="N178" t="inlineStr">
        <is>
          <t>Betul</t>
        </is>
      </c>
      <c r="O178" s="5" t="n">
        <v>46237</v>
      </c>
      <c r="P178" t="inlineStr">
        <is>
          <t>Financial</t>
        </is>
      </c>
      <c r="Q178" t="inlineStr">
        <is>
          <t>-</t>
        </is>
      </c>
      <c r="R178" t="inlineStr"/>
      <c r="S178" t="inlineStr">
        <is>
          <t>5 named / 5</t>
        </is>
      </c>
      <c r="U178" s="6">
        <f>IF(ISNUMBER(G178),MAX(MAX(G178,Settings!$B$13)*Settings!$B$7*Settings!$B$5,IF(ISNUMBER(Settings!$B$12),Settings!$B$12,0))*(1+IF(Settings!$B$11="Y",0,Settings!$B$10/100))+N(Settings!$B$9),"")</f>
        <v/>
      </c>
      <c r="W178" s="6">
        <f>IF(ISNUMBER(V178),IF(V178*Settings!$B$8&gt;1000,"beyond table",IFERROR(LOOKUP(V178*Settings!$B$8,'FOIS 145A'!$A$2:$A$22,'FOIS 145A'!$C$2:$C$22)*(1+IF(Settings!$B$11="Y",0,Settings!$B$10/100)),"")),"")</f>
        <v/>
      </c>
      <c r="X178" s="6">
        <f>IF(AND(ISNUMBER(U178),ISNUMBER(W178)),U178+W178,"")</f>
        <v/>
      </c>
      <c r="Y178">
        <f>Settings!$B$6</f>
        <v/>
      </c>
    </row>
    <row r="179">
      <c r="A179" t="inlineStr">
        <is>
          <t>No</t>
        </is>
      </c>
      <c r="B179" t="inlineStr">
        <is>
          <t>named mine/plant is far</t>
        </is>
      </c>
      <c r="C179" t="inlineStr"/>
      <c r="E179" t="inlineStr"/>
      <c r="H179" t="inlineStr">
        <is>
          <t>17778836</t>
        </is>
      </c>
      <c r="I179" t="inlineStr">
        <is>
          <t>GEM/2026/B/7742999</t>
        </is>
      </c>
      <c r="J179" t="inlineStr">
        <is>
          <t>handling &amp; transport service, loading and transportation of rom coal and crushed coal at mkd-iii ocm of umrer area rs 17306625</t>
        </is>
      </c>
      <c r="K179" t="inlineStr">
        <is>
          <t>Coal transport (road)</t>
        </is>
      </c>
      <c r="L179" t="inlineStr">
        <is>
          <t>Western Coalfields Limited</t>
        </is>
      </c>
      <c r="M179" t="inlineStr">
        <is>
          <t>Maharashtra</t>
        </is>
      </c>
      <c r="N179" t="inlineStr">
        <is>
          <t>Nagpur</t>
        </is>
      </c>
      <c r="O179" s="5" t="n">
        <v>46225</v>
      </c>
      <c r="P179" t="inlineStr">
        <is>
          <t>AOC</t>
        </is>
      </c>
      <c r="Q179" t="inlineStr">
        <is>
          <t>Kaushal Singh Transport Company</t>
        </is>
      </c>
      <c r="R179" t="inlineStr">
        <is>
          <t>Saikrupa Coal Supplier</t>
        </is>
      </c>
      <c r="S179" t="inlineStr">
        <is>
          <t>2 named / 2</t>
        </is>
      </c>
      <c r="T179" t="n">
        <v>1.8</v>
      </c>
      <c r="U179" s="6">
        <f>IF(ISNUMBER(G179),MAX(MAX(G179,Settings!$B$13)*Settings!$B$7*Settings!$B$5,IF(ISNUMBER(Settings!$B$12),Settings!$B$12,0))*(1+IF(Settings!$B$11="Y",0,Settings!$B$10/100))+N(Settings!$B$9),"")</f>
        <v/>
      </c>
      <c r="W179" s="6">
        <f>IF(ISNUMBER(V179),IF(V179*Settings!$B$8&gt;1000,"beyond table",IFERROR(LOOKUP(V179*Settings!$B$8,'FOIS 145A'!$A$2:$A$22,'FOIS 145A'!$C$2:$C$22)*(1+IF(Settings!$B$11="Y",0,Settings!$B$10/100)),"")),"")</f>
        <v/>
      </c>
      <c r="X179" s="6">
        <f>IF(AND(ISNUMBER(U179),ISNUMBER(W179)),U179+W179,"")</f>
        <v/>
      </c>
      <c r="Y179">
        <f>Settings!$B$6</f>
        <v/>
      </c>
    </row>
    <row r="180">
      <c r="A180" t="inlineStr">
        <is>
          <t>No</t>
        </is>
      </c>
      <c r="B180" t="inlineStr">
        <is>
          <t>mine = coal company's tender in Madhya Pradesh; named mine/plant is far</t>
        </is>
      </c>
      <c r="C180" t="inlineStr"/>
      <c r="E180" t="inlineStr"/>
      <c r="H180" t="inlineStr">
        <is>
          <t>17920540</t>
        </is>
      </c>
      <c r="I180" t="inlineStr">
        <is>
          <t>GEM/2026/B/7717407</t>
        </is>
      </c>
      <c r="J180" t="inlineStr">
        <is>
          <t>handling &amp; transport service, loading and transportation of coal at amlohri project</t>
        </is>
      </c>
      <c r="K180" t="inlineStr">
        <is>
          <t>Coal transport (road)</t>
        </is>
      </c>
      <c r="L180" t="inlineStr">
        <is>
          <t>Northern Coalfields Limited</t>
        </is>
      </c>
      <c r="M180" t="inlineStr">
        <is>
          <t>Madhya Pradesh</t>
        </is>
      </c>
      <c r="N180" t="inlineStr">
        <is>
          <t>Sidhi</t>
        </is>
      </c>
      <c r="O180" s="5" t="n">
        <v>46217</v>
      </c>
      <c r="P180" t="inlineStr">
        <is>
          <t>AOC</t>
        </is>
      </c>
      <c r="Q180" t="inlineStr">
        <is>
          <t>Mahavir Coal Resources Private Limited</t>
        </is>
      </c>
      <c r="R180" t="inlineStr">
        <is>
          <t>Godavari Commodities</t>
        </is>
      </c>
      <c r="S180" t="inlineStr">
        <is>
          <t>5 named / 9</t>
        </is>
      </c>
      <c r="T180" t="n">
        <v>14.82</v>
      </c>
      <c r="U180" s="6">
        <f>IF(ISNUMBER(G180),MAX(MAX(G180,Settings!$B$13)*Settings!$B$7*Settings!$B$5,IF(ISNUMBER(Settings!$B$12),Settings!$B$12,0))*(1+IF(Settings!$B$11="Y",0,Settings!$B$10/100))+N(Settings!$B$9),"")</f>
        <v/>
      </c>
      <c r="W180" s="6">
        <f>IF(ISNUMBER(V180),IF(V180*Settings!$B$8&gt;1000,"beyond table",IFERROR(LOOKUP(V180*Settings!$B$8,'FOIS 145A'!$A$2:$A$22,'FOIS 145A'!$C$2:$C$22)*(1+IF(Settings!$B$11="Y",0,Settings!$B$10/100)),"")),"")</f>
        <v/>
      </c>
      <c r="X180" s="6">
        <f>IF(AND(ISNUMBER(U180),ISNUMBER(W180)),U180+W180,"")</f>
        <v/>
      </c>
      <c r="Y180">
        <f>Settings!$B$6</f>
        <v/>
      </c>
    </row>
    <row r="181">
      <c r="A181" t="inlineStr">
        <is>
          <t>No</t>
        </is>
      </c>
      <c r="B181" t="inlineStr">
        <is>
          <t>named mine/plant is far</t>
        </is>
      </c>
      <c r="C181" t="inlineStr"/>
      <c r="E181" t="inlineStr"/>
      <c r="H181" t="inlineStr">
        <is>
          <t>18263044</t>
        </is>
      </c>
      <c r="I181" t="inlineStr">
        <is>
          <t>2026_NTPC_109393_1</t>
        </is>
      </c>
      <c r="J181" t="inlineStr">
        <is>
          <t>transportation of coal from nk and ashoka mines area</t>
        </is>
      </c>
      <c r="K181" t="inlineStr">
        <is>
          <t>Coal transport (road)</t>
        </is>
      </c>
      <c r="L181" t="inlineStr">
        <is>
          <t>National Thermal Power Corporation Limited</t>
        </is>
      </c>
      <c r="M181" t="inlineStr">
        <is>
          <t>Chhattisgarh</t>
        </is>
      </c>
      <c r="N181" t="inlineStr">
        <is>
          <t>Raipur</t>
        </is>
      </c>
      <c r="O181" s="5" t="n">
        <v>46216</v>
      </c>
      <c r="P181" t="inlineStr">
        <is>
          <t>Financial</t>
        </is>
      </c>
      <c r="Q181" t="inlineStr">
        <is>
          <t>-</t>
        </is>
      </c>
      <c r="R181" t="inlineStr">
        <is>
          <t>Nkas Services</t>
        </is>
      </c>
      <c r="S181" t="inlineStr">
        <is>
          <t>5 named / 7</t>
        </is>
      </c>
      <c r="U181" s="6">
        <f>IF(ISNUMBER(G181),MAX(MAX(G181,Settings!$B$13)*Settings!$B$7*Settings!$B$5,IF(ISNUMBER(Settings!$B$12),Settings!$B$12,0))*(1+IF(Settings!$B$11="Y",0,Settings!$B$10/100))+N(Settings!$B$9),"")</f>
        <v/>
      </c>
      <c r="W181" s="6">
        <f>IF(ISNUMBER(V181),IF(V181*Settings!$B$8&gt;1000,"beyond table",IFERROR(LOOKUP(V181*Settings!$B$8,'FOIS 145A'!$A$2:$A$22,'FOIS 145A'!$C$2:$C$22)*(1+IF(Settings!$B$11="Y",0,Settings!$B$10/100)),"")),"")</f>
        <v/>
      </c>
      <c r="X181" s="6">
        <f>IF(AND(ISNUMBER(U181),ISNUMBER(W181)),U181+W181,"")</f>
        <v/>
      </c>
      <c r="Y181">
        <f>Settings!$B$6</f>
        <v/>
      </c>
    </row>
    <row r="182">
      <c r="A182" t="inlineStr">
        <is>
          <t>No</t>
        </is>
      </c>
      <c r="B182" t="inlineStr">
        <is>
          <t>mine = coal company's tender in Madhya Pradesh; named mine/plant is far</t>
        </is>
      </c>
      <c r="C182" t="inlineStr"/>
      <c r="E182" t="inlineStr"/>
      <c r="H182" t="inlineStr">
        <is>
          <t>17901283</t>
        </is>
      </c>
      <c r="I182" t="inlineStr">
        <is>
          <t>GEM/2026/B/7702371</t>
        </is>
      </c>
      <c r="J182" t="inlineStr">
        <is>
          <t>feeding crushing through electric mobile crusher and transportation of 4384000 tes of coal at jayant project, ncl</t>
        </is>
      </c>
      <c r="K182" t="inlineStr">
        <is>
          <t>Coal transport (road)</t>
        </is>
      </c>
      <c r="L182" t="inlineStr">
        <is>
          <t>Northern Coalfields Limited</t>
        </is>
      </c>
      <c r="M182" t="inlineStr">
        <is>
          <t>Madhya Pradesh</t>
        </is>
      </c>
      <c r="N182" t="inlineStr">
        <is>
          <t>Sidhi</t>
        </is>
      </c>
      <c r="O182" s="5" t="n">
        <v>46214</v>
      </c>
      <c r="P182" t="inlineStr">
        <is>
          <t>AOC</t>
        </is>
      </c>
      <c r="Q182" t="inlineStr">
        <is>
          <t>Shanker Fuels Private Limited</t>
        </is>
      </c>
      <c r="R182" t="inlineStr">
        <is>
          <t>Godavari Commodities</t>
        </is>
      </c>
      <c r="S182" t="inlineStr">
        <is>
          <t>5 named / 10</t>
        </is>
      </c>
      <c r="T182" t="n">
        <v>42.92</v>
      </c>
      <c r="U182" s="6">
        <f>IF(ISNUMBER(G182),MAX(MAX(G182,Settings!$B$13)*Settings!$B$7*Settings!$B$5,IF(ISNUMBER(Settings!$B$12),Settings!$B$12,0))*(1+IF(Settings!$B$11="Y",0,Settings!$B$10/100))+N(Settings!$B$9),"")</f>
        <v/>
      </c>
      <c r="W182" s="6">
        <f>IF(ISNUMBER(V182),IF(V182*Settings!$B$8&gt;1000,"beyond table",IFERROR(LOOKUP(V182*Settings!$B$8,'FOIS 145A'!$A$2:$A$22,'FOIS 145A'!$C$2:$C$22)*(1+IF(Settings!$B$11="Y",0,Settings!$B$10/100)),"")),"")</f>
        <v/>
      </c>
      <c r="X182" s="6">
        <f>IF(AND(ISNUMBER(U182),ISNUMBER(W182)),U182+W182,"")</f>
        <v/>
      </c>
      <c r="Y182">
        <f>Settings!$B$6</f>
        <v/>
      </c>
    </row>
    <row r="183">
      <c r="A183" t="inlineStr">
        <is>
          <t>No</t>
        </is>
      </c>
      <c r="B183" t="inlineStr">
        <is>
          <t>named mine/plant is far</t>
        </is>
      </c>
      <c r="C183" t="inlineStr"/>
      <c r="E183" t="inlineStr"/>
      <c r="H183" t="inlineStr">
        <is>
          <t>17631988</t>
        </is>
      </c>
      <c r="I183" t="inlineStr">
        <is>
          <t>GEM/2026/B/7633420</t>
        </is>
      </c>
      <c r="J183" t="inlineStr">
        <is>
          <t>handling &amp; transport service, loading and coal transportation at ghonsa ocm of wani north area</t>
        </is>
      </c>
      <c r="K183" t="inlineStr">
        <is>
          <t>Coal transport (road)</t>
        </is>
      </c>
      <c r="L183" t="inlineStr">
        <is>
          <t>Western Coalfields Limited</t>
        </is>
      </c>
      <c r="M183" t="inlineStr">
        <is>
          <t>Maharashtra</t>
        </is>
      </c>
      <c r="N183" t="inlineStr">
        <is>
          <t>Yavatmal</t>
        </is>
      </c>
      <c r="O183" s="5" t="n">
        <v>46195</v>
      </c>
      <c r="P183" t="inlineStr">
        <is>
          <t>Financial</t>
        </is>
      </c>
      <c r="Q183" t="inlineStr">
        <is>
          <t>-</t>
        </is>
      </c>
      <c r="R183" t="inlineStr"/>
      <c r="S183" t="inlineStr">
        <is>
          <t>4 named / 4</t>
        </is>
      </c>
      <c r="U183" s="6">
        <f>IF(ISNUMBER(G183),MAX(MAX(G183,Settings!$B$13)*Settings!$B$7*Settings!$B$5,IF(ISNUMBER(Settings!$B$12),Settings!$B$12,0))*(1+IF(Settings!$B$11="Y",0,Settings!$B$10/100))+N(Settings!$B$9),"")</f>
        <v/>
      </c>
      <c r="W183" s="6">
        <f>IF(ISNUMBER(V183),IF(V183*Settings!$B$8&gt;1000,"beyond table",IFERROR(LOOKUP(V183*Settings!$B$8,'FOIS 145A'!$A$2:$A$22,'FOIS 145A'!$C$2:$C$22)*(1+IF(Settings!$B$11="Y",0,Settings!$B$10/100)),"")),"")</f>
        <v/>
      </c>
      <c r="X183" s="6">
        <f>IF(AND(ISNUMBER(U183),ISNUMBER(W183)),U183+W183,"")</f>
        <v/>
      </c>
      <c r="Y183">
        <f>Settings!$B$6</f>
        <v/>
      </c>
    </row>
    <row r="184">
      <c r="A184" t="inlineStr">
        <is>
          <t>No</t>
        </is>
      </c>
      <c r="B184" t="inlineStr">
        <is>
          <t>mine = coal company's tender in Madhya Pradesh; named mine/plant is far</t>
        </is>
      </c>
      <c r="C184" t="inlineStr"/>
      <c r="E184" t="inlineStr"/>
      <c r="H184" t="inlineStr">
        <is>
          <t>17865484</t>
        </is>
      </c>
      <c r="I184" t="inlineStr">
        <is>
          <t>GEM/2026/B/7560710</t>
        </is>
      </c>
      <c r="J184" t="inlineStr">
        <is>
          <t>loading transportation and crushing of coal at dudhichua project</t>
        </is>
      </c>
      <c r="K184" t="inlineStr">
        <is>
          <t>Coal transport (road)</t>
        </is>
      </c>
      <c r="L184" t="inlineStr">
        <is>
          <t>Northern Coalfields Limited</t>
        </is>
      </c>
      <c r="M184" t="inlineStr">
        <is>
          <t>Madhya Pradesh</t>
        </is>
      </c>
      <c r="N184" t="inlineStr">
        <is>
          <t>Sidhi</t>
        </is>
      </c>
      <c r="O184" s="5" t="n">
        <v>46178</v>
      </c>
      <c r="P184" t="inlineStr">
        <is>
          <t>Financial</t>
        </is>
      </c>
      <c r="Q184" t="inlineStr">
        <is>
          <t>-</t>
        </is>
      </c>
      <c r="R184" t="inlineStr">
        <is>
          <t>Godavari Commodities</t>
        </is>
      </c>
      <c r="S184" t="inlineStr">
        <is>
          <t>5 named / 20</t>
        </is>
      </c>
      <c r="U184" s="6">
        <f>IF(ISNUMBER(G184),MAX(MAX(G184,Settings!$B$13)*Settings!$B$7*Settings!$B$5,IF(ISNUMBER(Settings!$B$12),Settings!$B$12,0))*(1+IF(Settings!$B$11="Y",0,Settings!$B$10/100))+N(Settings!$B$9),"")</f>
        <v/>
      </c>
      <c r="W184" s="6">
        <f>IF(ISNUMBER(V184),IF(V184*Settings!$B$8&gt;1000,"beyond table",IFERROR(LOOKUP(V184*Settings!$B$8,'FOIS 145A'!$A$2:$A$22,'FOIS 145A'!$C$2:$C$22)*(1+IF(Settings!$B$11="Y",0,Settings!$B$10/100)),"")),"")</f>
        <v/>
      </c>
      <c r="X184" s="6">
        <f>IF(AND(ISNUMBER(U184),ISNUMBER(W184)),U184+W184,"")</f>
        <v/>
      </c>
      <c r="Y184">
        <f>Settings!$B$6</f>
        <v/>
      </c>
    </row>
    <row r="185">
      <c r="A185" t="inlineStr">
        <is>
          <t>No</t>
        </is>
      </c>
      <c r="B185" t="inlineStr">
        <is>
          <t>plant = tender city in Jharkhand; named mine/plant is far</t>
        </is>
      </c>
      <c r="C185" t="inlineStr"/>
      <c r="E185" t="inlineStr"/>
      <c r="H185" t="inlineStr">
        <is>
          <t>17714430</t>
        </is>
      </c>
      <c r="I185" t="inlineStr">
        <is>
          <t>GEM/2026/B/7501003</t>
        </is>
      </c>
      <c r="J185" t="inlineStr">
        <is>
          <t>deployment of equipment for rehandling of coal kdcmp- loading of coal into tippers, transportation of coal to crusher</t>
        </is>
      </c>
      <c r="K185" t="inlineStr">
        <is>
          <t>Coal transport (road)</t>
        </is>
      </c>
      <c r="L185" t="inlineStr">
        <is>
          <t>National Thermal Power Corporation Limited</t>
        </is>
      </c>
      <c r="M185" t="inlineStr">
        <is>
          <t>Jharkhand</t>
        </is>
      </c>
      <c r="N185" t="inlineStr">
        <is>
          <t>Hazaribagh</t>
        </is>
      </c>
      <c r="O185" s="5" t="n">
        <v>46175</v>
      </c>
      <c r="P185" t="inlineStr">
        <is>
          <t>AOC</t>
        </is>
      </c>
      <c r="Q185" t="inlineStr">
        <is>
          <t>Ravindra Enterprises</t>
        </is>
      </c>
      <c r="R185" t="inlineStr"/>
      <c r="S185" t="inlineStr">
        <is>
          <t>5 named / 8</t>
        </is>
      </c>
      <c r="T185" t="n">
        <v>6.85</v>
      </c>
      <c r="U185" s="6">
        <f>IF(ISNUMBER(G185),MAX(MAX(G185,Settings!$B$13)*Settings!$B$7*Settings!$B$5,IF(ISNUMBER(Settings!$B$12),Settings!$B$12,0))*(1+IF(Settings!$B$11="Y",0,Settings!$B$10/100))+N(Settings!$B$9),"")</f>
        <v/>
      </c>
      <c r="W185" s="6">
        <f>IF(ISNUMBER(V185),IF(V185*Settings!$B$8&gt;1000,"beyond table",IFERROR(LOOKUP(V185*Settings!$B$8,'FOIS 145A'!$A$2:$A$22,'FOIS 145A'!$C$2:$C$22)*(1+IF(Settings!$B$11="Y",0,Settings!$B$10/100)),"")),"")</f>
        <v/>
      </c>
      <c r="X185" s="6">
        <f>IF(AND(ISNUMBER(U185),ISNUMBER(W185)),U185+W185,"")</f>
        <v/>
      </c>
      <c r="Y185">
        <f>Settings!$B$6</f>
        <v/>
      </c>
    </row>
    <row r="186">
      <c r="A186" t="inlineStr">
        <is>
          <t>No</t>
        </is>
      </c>
      <c r="B186" t="inlineStr">
        <is>
          <t>mine = coal company's tender in Jharkhand; named mine/plant is far</t>
        </is>
      </c>
      <c r="C186" t="inlineStr"/>
      <c r="E186" t="inlineStr"/>
      <c r="H186" t="inlineStr">
        <is>
          <t>17330697</t>
        </is>
      </c>
      <c r="I186" t="inlineStr">
        <is>
          <t>GEM/2026/B/7510863</t>
        </is>
      </c>
      <c r="J186" t="inlineStr">
        <is>
          <t>handling &amp; transport service, feeding, crushing, loading &amp; transportation of coal for 90 days as per scope of work</t>
        </is>
      </c>
      <c r="K186" t="inlineStr">
        <is>
          <t>Coal transport (road)</t>
        </is>
      </c>
      <c r="L186" t="inlineStr">
        <is>
          <t>Central Coalfields Limited</t>
        </is>
      </c>
      <c r="M186" t="inlineStr">
        <is>
          <t>Jharkhand</t>
        </is>
      </c>
      <c r="N186" t="inlineStr">
        <is>
          <t>Bokaro</t>
        </is>
      </c>
      <c r="O186" s="5" t="n">
        <v>46167</v>
      </c>
      <c r="P186" t="inlineStr">
        <is>
          <t>AOC</t>
        </is>
      </c>
      <c r="Q186" t="inlineStr">
        <is>
          <t>M/S Dadan Singh</t>
        </is>
      </c>
      <c r="R186" t="inlineStr"/>
      <c r="S186" t="inlineStr">
        <is>
          <t>3 named / 3</t>
        </is>
      </c>
      <c r="T186" t="n">
        <v>2.38</v>
      </c>
      <c r="U186" s="6">
        <f>IF(ISNUMBER(G186),MAX(MAX(G186,Settings!$B$13)*Settings!$B$7*Settings!$B$5,IF(ISNUMBER(Settings!$B$12),Settings!$B$12,0))*(1+IF(Settings!$B$11="Y",0,Settings!$B$10/100))+N(Settings!$B$9),"")</f>
        <v/>
      </c>
      <c r="W186" s="6">
        <f>IF(ISNUMBER(V186),IF(V186*Settings!$B$8&gt;1000,"beyond table",IFERROR(LOOKUP(V186*Settings!$B$8,'FOIS 145A'!$A$2:$A$22,'FOIS 145A'!$C$2:$C$22)*(1+IF(Settings!$B$11="Y",0,Settings!$B$10/100)),"")),"")</f>
        <v/>
      </c>
      <c r="X186" s="6">
        <f>IF(AND(ISNUMBER(U186),ISNUMBER(W186)),U186+W186,"")</f>
        <v/>
      </c>
      <c r="Y186">
        <f>Settings!$B$6</f>
        <v/>
      </c>
    </row>
    <row r="187">
      <c r="A187" t="inlineStr">
        <is>
          <t>No</t>
        </is>
      </c>
      <c r="B187" t="inlineStr">
        <is>
          <t>plant = tender city in Uttar Pradesh; named mine/plant is far</t>
        </is>
      </c>
      <c r="C187" t="inlineStr"/>
      <c r="E187" t="inlineStr"/>
      <c r="H187" t="inlineStr">
        <is>
          <t>17418635</t>
        </is>
      </c>
      <c r="I187" t="inlineStr">
        <is>
          <t>GEM/2026/B/7496853</t>
        </is>
      </c>
      <c r="J187" t="inlineStr">
        <is>
          <t xml:space="preserve">handling and transport on lumpsum basis - liaisoning contract for the movement of one and half million ton bridge linkage coal in rail mode from mines of any subsidiary of coal india ltd to ghatampur </t>
        </is>
      </c>
      <c r="K187" t="inlineStr">
        <is>
          <t>Coal transport (road)</t>
        </is>
      </c>
      <c r="L187" t="inlineStr">
        <is>
          <t>Neyveli Uttar Pradesh Power Limited</t>
        </is>
      </c>
      <c r="M187" t="inlineStr">
        <is>
          <t>Uttar Pradesh</t>
        </is>
      </c>
      <c r="N187" t="inlineStr">
        <is>
          <t>Kanpur</t>
        </is>
      </c>
      <c r="O187" s="5" t="n">
        <v>46167</v>
      </c>
      <c r="P187" t="inlineStr">
        <is>
          <t>AOC</t>
        </is>
      </c>
      <c r="Q187" t="inlineStr">
        <is>
          <t>Jainandani Commodities Private Limited</t>
        </is>
      </c>
      <c r="R187" t="inlineStr">
        <is>
          <t>Godavari Commodities</t>
        </is>
      </c>
      <c r="S187" t="inlineStr">
        <is>
          <t>5 named / 7</t>
        </is>
      </c>
      <c r="T187" t="n">
        <v>7.79</v>
      </c>
      <c r="U187" s="6">
        <f>IF(ISNUMBER(G187),MAX(MAX(G187,Settings!$B$13)*Settings!$B$7*Settings!$B$5,IF(ISNUMBER(Settings!$B$12),Settings!$B$12,0))*(1+IF(Settings!$B$11="Y",0,Settings!$B$10/100))+N(Settings!$B$9),"")</f>
        <v/>
      </c>
      <c r="W187" s="6">
        <f>IF(ISNUMBER(V187),IF(V187*Settings!$B$8&gt;1000,"beyond table",IFERROR(LOOKUP(V187*Settings!$B$8,'FOIS 145A'!$A$2:$A$22,'FOIS 145A'!$C$2:$C$22)*(1+IF(Settings!$B$11="Y",0,Settings!$B$10/100)),"")),"")</f>
        <v/>
      </c>
      <c r="X187" s="6">
        <f>IF(AND(ISNUMBER(U187),ISNUMBER(W187)),U187+W187,"")</f>
        <v/>
      </c>
      <c r="Y187">
        <f>Settings!$B$6</f>
        <v/>
      </c>
    </row>
    <row r="188">
      <c r="A188" t="inlineStr">
        <is>
          <t>No</t>
        </is>
      </c>
      <c r="B188" t="inlineStr">
        <is>
          <t>plant = tender city in Madhya Pradesh; named mine/plant is far</t>
        </is>
      </c>
      <c r="C188" t="inlineStr"/>
      <c r="E188" t="inlineStr"/>
      <c r="H188" t="inlineStr">
        <is>
          <t>17374270</t>
        </is>
      </c>
      <c r="I188" t="inlineStr">
        <is>
          <t>2026_MPPGC_500659_1</t>
        </is>
      </c>
      <c r="J188" t="inlineStr">
        <is>
          <t>transportation with loading of coal from urdhan ocm of pench area mine of m/s wcl to stps, sarni by contractor in completely covered and sealed tippers/ trucks and unloading the coal in coal yard at m</t>
        </is>
      </c>
      <c r="K188" t="inlineStr">
        <is>
          <t>Coal transport (road)</t>
        </is>
      </c>
      <c r="L188" t="inlineStr">
        <is>
          <t>Madhya Pradesh Power Generating Company Limited</t>
        </is>
      </c>
      <c r="M188" t="inlineStr">
        <is>
          <t>Madhya Pradesh</t>
        </is>
      </c>
      <c r="N188" t="inlineStr">
        <is>
          <t>Betul</t>
        </is>
      </c>
      <c r="O188" s="5" t="n">
        <v>46167</v>
      </c>
      <c r="P188" t="inlineStr">
        <is>
          <t>Financial</t>
        </is>
      </c>
      <c r="Q188" t="inlineStr">
        <is>
          <t>-</t>
        </is>
      </c>
      <c r="R188" t="inlineStr"/>
      <c r="S188" t="inlineStr">
        <is>
          <t>5 named / 5</t>
        </is>
      </c>
      <c r="U188" s="6">
        <f>IF(ISNUMBER(G188),MAX(MAX(G188,Settings!$B$13)*Settings!$B$7*Settings!$B$5,IF(ISNUMBER(Settings!$B$12),Settings!$B$12,0))*(1+IF(Settings!$B$11="Y",0,Settings!$B$10/100))+N(Settings!$B$9),"")</f>
        <v/>
      </c>
      <c r="W188" s="6">
        <f>IF(ISNUMBER(V188),IF(V188*Settings!$B$8&gt;1000,"beyond table",IFERROR(LOOKUP(V188*Settings!$B$8,'FOIS 145A'!$A$2:$A$22,'FOIS 145A'!$C$2:$C$22)*(1+IF(Settings!$B$11="Y",0,Settings!$B$10/100)),"")),"")</f>
        <v/>
      </c>
      <c r="X188" s="6">
        <f>IF(AND(ISNUMBER(U188),ISNUMBER(W188)),U188+W188,"")</f>
        <v/>
      </c>
      <c r="Y188">
        <f>Settings!$B$6</f>
        <v/>
      </c>
    </row>
    <row r="189">
      <c r="A189" t="inlineStr">
        <is>
          <t>No</t>
        </is>
      </c>
      <c r="B189" t="inlineStr">
        <is>
          <t>mine = coal company's tender in Maharashtra; named mine/plant is far</t>
        </is>
      </c>
      <c r="C189" t="inlineStr"/>
      <c r="E189" t="inlineStr"/>
      <c r="H189" t="inlineStr">
        <is>
          <t>17524535</t>
        </is>
      </c>
      <c r="I189" t="inlineStr">
        <is>
          <t>GEM/2026/B/7509823</t>
        </is>
      </c>
      <c r="J189" t="inlineStr">
        <is>
          <t>handling &amp; transport service, crushing, loading &amp; transportation of coal at adasa ug to oc mine of nagpur area</t>
        </is>
      </c>
      <c r="K189" t="inlineStr">
        <is>
          <t>Coal transport (road)</t>
        </is>
      </c>
      <c r="L189" t="inlineStr">
        <is>
          <t>Western Coalfields Limited</t>
        </is>
      </c>
      <c r="M189" t="inlineStr">
        <is>
          <t>Maharashtra</t>
        </is>
      </c>
      <c r="N189" t="inlineStr">
        <is>
          <t>Nagpur</t>
        </is>
      </c>
      <c r="O189" s="5" t="n">
        <v>46163</v>
      </c>
      <c r="P189" t="inlineStr">
        <is>
          <t>AOC</t>
        </is>
      </c>
      <c r="Q189" t="inlineStr">
        <is>
          <t>D D G Associates Private Limited</t>
        </is>
      </c>
      <c r="R189" t="inlineStr"/>
      <c r="S189" t="inlineStr">
        <is>
          <t>5 named / 15</t>
        </is>
      </c>
      <c r="T189" t="n">
        <v>34.73</v>
      </c>
      <c r="U189" s="6">
        <f>IF(ISNUMBER(G189),MAX(MAX(G189,Settings!$B$13)*Settings!$B$7*Settings!$B$5,IF(ISNUMBER(Settings!$B$12),Settings!$B$12,0))*(1+IF(Settings!$B$11="Y",0,Settings!$B$10/100))+N(Settings!$B$9),"")</f>
        <v/>
      </c>
      <c r="W189" s="6">
        <f>IF(ISNUMBER(V189),IF(V189*Settings!$B$8&gt;1000,"beyond table",IFERROR(LOOKUP(V189*Settings!$B$8,'FOIS 145A'!$A$2:$A$22,'FOIS 145A'!$C$2:$C$22)*(1+IF(Settings!$B$11="Y",0,Settings!$B$10/100)),"")),"")</f>
        <v/>
      </c>
      <c r="X189" s="6">
        <f>IF(AND(ISNUMBER(U189),ISNUMBER(W189)),U189+W189,"")</f>
        <v/>
      </c>
      <c r="Y189">
        <f>Settings!$B$6</f>
        <v/>
      </c>
    </row>
    <row r="190">
      <c r="A190" t="inlineStr">
        <is>
          <t>No</t>
        </is>
      </c>
      <c r="B190" t="inlineStr">
        <is>
          <t>named mine/plant is far</t>
        </is>
      </c>
      <c r="C190" t="inlineStr"/>
      <c r="E190" t="inlineStr"/>
      <c r="H190" t="inlineStr">
        <is>
          <t>17705945</t>
        </is>
      </c>
      <c r="I190" t="inlineStr">
        <is>
          <t>2026_NTPC_107428_1</t>
        </is>
      </c>
      <c r="J190" t="inlineStr">
        <is>
          <t>coal transportation from pakri mines to nkstpp</t>
        </is>
      </c>
      <c r="K190" t="inlineStr">
        <is>
          <t>Coal transport (road)</t>
        </is>
      </c>
      <c r="L190" t="inlineStr">
        <is>
          <t>National Thermal Power Corporation Limited</t>
        </is>
      </c>
      <c r="M190" t="inlineStr">
        <is>
          <t>Chhattisgarh</t>
        </is>
      </c>
      <c r="N190" t="inlineStr">
        <is>
          <t>Raipur</t>
        </is>
      </c>
      <c r="O190" s="5" t="n">
        <v>46161</v>
      </c>
      <c r="P190" t="inlineStr">
        <is>
          <t>AOC</t>
        </is>
      </c>
      <c r="Q190" t="inlineStr">
        <is>
          <t>Godavari Commodities Limited</t>
        </is>
      </c>
      <c r="R190" t="inlineStr">
        <is>
          <t>Godavari Commodities, Nkas Services</t>
        </is>
      </c>
      <c r="S190" t="inlineStr">
        <is>
          <t>5 named / 8</t>
        </is>
      </c>
      <c r="T190" t="n">
        <v>29.24</v>
      </c>
      <c r="U190" s="6">
        <f>IF(ISNUMBER(G190),MAX(MAX(G190,Settings!$B$13)*Settings!$B$7*Settings!$B$5,IF(ISNUMBER(Settings!$B$12),Settings!$B$12,0))*(1+IF(Settings!$B$11="Y",0,Settings!$B$10/100))+N(Settings!$B$9),"")</f>
        <v/>
      </c>
      <c r="W190" s="6">
        <f>IF(ISNUMBER(V190),IF(V190*Settings!$B$8&gt;1000,"beyond table",IFERROR(LOOKUP(V190*Settings!$B$8,'FOIS 145A'!$A$2:$A$22,'FOIS 145A'!$C$2:$C$22)*(1+IF(Settings!$B$11="Y",0,Settings!$B$10/100)),"")),"")</f>
        <v/>
      </c>
      <c r="X190" s="6">
        <f>IF(AND(ISNUMBER(U190),ISNUMBER(W190)),U190+W190,"")</f>
        <v/>
      </c>
      <c r="Y190">
        <f>Settings!$B$6</f>
        <v/>
      </c>
    </row>
    <row r="191">
      <c r="A191" t="inlineStr">
        <is>
          <t>No</t>
        </is>
      </c>
      <c r="B191" t="inlineStr">
        <is>
          <t>mine = coal company's tender in Madhya Pradesh; named mine/plant is far</t>
        </is>
      </c>
      <c r="C191" t="inlineStr"/>
      <c r="E191" t="inlineStr"/>
      <c r="H191" t="inlineStr">
        <is>
          <t>17533867</t>
        </is>
      </c>
      <c r="I191" t="inlineStr">
        <is>
          <t>GEM/2026/B/7466836</t>
        </is>
      </c>
      <c r="J191" t="inlineStr">
        <is>
          <t>handling &amp; transport service, loading transportation and crushing of coal at nigahi area</t>
        </is>
      </c>
      <c r="K191" t="inlineStr">
        <is>
          <t>Coal transport (road)</t>
        </is>
      </c>
      <c r="L191" t="inlineStr">
        <is>
          <t>Northern Coalfields Limited</t>
        </is>
      </c>
      <c r="M191" t="inlineStr">
        <is>
          <t>Madhya Pradesh</t>
        </is>
      </c>
      <c r="N191" t="inlineStr">
        <is>
          <t>Sidhi</t>
        </is>
      </c>
      <c r="O191" s="5" t="n">
        <v>46158</v>
      </c>
      <c r="P191" t="inlineStr">
        <is>
          <t>AOC</t>
        </is>
      </c>
      <c r="Q191" t="inlineStr">
        <is>
          <t>Rkcem Private Limited</t>
        </is>
      </c>
      <c r="R191" t="inlineStr"/>
      <c r="S191" t="inlineStr">
        <is>
          <t>5 named / 20</t>
        </is>
      </c>
      <c r="T191" t="n">
        <v>72.31999999999999</v>
      </c>
      <c r="U191" s="6">
        <f>IF(ISNUMBER(G191),MAX(MAX(G191,Settings!$B$13)*Settings!$B$7*Settings!$B$5,IF(ISNUMBER(Settings!$B$12),Settings!$B$12,0))*(1+IF(Settings!$B$11="Y",0,Settings!$B$10/100))+N(Settings!$B$9),"")</f>
        <v/>
      </c>
      <c r="W191" s="6">
        <f>IF(ISNUMBER(V191),IF(V191*Settings!$B$8&gt;1000,"beyond table",IFERROR(LOOKUP(V191*Settings!$B$8,'FOIS 145A'!$A$2:$A$22,'FOIS 145A'!$C$2:$C$22)*(1+IF(Settings!$B$11="Y",0,Settings!$B$10/100)),"")),"")</f>
        <v/>
      </c>
      <c r="X191" s="6">
        <f>IF(AND(ISNUMBER(U191),ISNUMBER(W191)),U191+W191,"")</f>
        <v/>
      </c>
      <c r="Y191">
        <f>Settings!$B$6</f>
        <v/>
      </c>
    </row>
    <row r="192">
      <c r="A192" t="inlineStr">
        <is>
          <t>No</t>
        </is>
      </c>
      <c r="B192" t="inlineStr">
        <is>
          <t>named mine/plant is far</t>
        </is>
      </c>
      <c r="C192" t="inlineStr"/>
      <c r="E192" t="inlineStr"/>
      <c r="H192" t="inlineStr">
        <is>
          <t>17438629</t>
        </is>
      </c>
      <c r="I192" t="inlineStr">
        <is>
          <t>GEM/2026/B/7492480</t>
        </is>
      </c>
      <c r="J192" t="inlineStr">
        <is>
          <t>handling &amp; transport service, crushing, loading and transportation of coal at ukni deep ocm of wani north area</t>
        </is>
      </c>
      <c r="K192" t="inlineStr">
        <is>
          <t>Coal transport (road)</t>
        </is>
      </c>
      <c r="L192" t="inlineStr">
        <is>
          <t>Western Coalfields Limited</t>
        </is>
      </c>
      <c r="M192" t="inlineStr">
        <is>
          <t>Maharashtra</t>
        </is>
      </c>
      <c r="N192" t="inlineStr">
        <is>
          <t>Yavatmal</t>
        </is>
      </c>
      <c r="O192" s="5" t="n">
        <v>46157</v>
      </c>
      <c r="P192" t="inlineStr">
        <is>
          <t>Financial</t>
        </is>
      </c>
      <c r="Q192" t="inlineStr">
        <is>
          <t>-</t>
        </is>
      </c>
      <c r="R192" t="inlineStr"/>
      <c r="S192" t="inlineStr">
        <is>
          <t>5 named / 7</t>
        </is>
      </c>
      <c r="U192" s="6">
        <f>IF(ISNUMBER(G192),MAX(MAX(G192,Settings!$B$13)*Settings!$B$7*Settings!$B$5,IF(ISNUMBER(Settings!$B$12),Settings!$B$12,0))*(1+IF(Settings!$B$11="Y",0,Settings!$B$10/100))+N(Settings!$B$9),"")</f>
        <v/>
      </c>
      <c r="W192" s="6">
        <f>IF(ISNUMBER(V192),IF(V192*Settings!$B$8&gt;1000,"beyond table",IFERROR(LOOKUP(V192*Settings!$B$8,'FOIS 145A'!$A$2:$A$22,'FOIS 145A'!$C$2:$C$22)*(1+IF(Settings!$B$11="Y",0,Settings!$B$10/100)),"")),"")</f>
        <v/>
      </c>
      <c r="X192" s="6">
        <f>IF(AND(ISNUMBER(U192),ISNUMBER(W192)),U192+W192,"")</f>
        <v/>
      </c>
      <c r="Y192">
        <f>Settings!$B$6</f>
        <v/>
      </c>
    </row>
    <row r="193">
      <c r="A193" t="inlineStr">
        <is>
          <t>No</t>
        </is>
      </c>
      <c r="B193" t="inlineStr">
        <is>
          <t>mine = coal company's tender in Jharkhand; named mine/plant is far</t>
        </is>
      </c>
      <c r="C193" t="inlineStr"/>
      <c r="E193" t="inlineStr"/>
      <c r="H193" t="inlineStr">
        <is>
          <t>17404462</t>
        </is>
      </c>
      <c r="I193" t="inlineStr">
        <is>
          <t>GEM/2026/B/7488401</t>
        </is>
      </c>
      <c r="J193" t="inlineStr">
        <is>
          <t>handling service, transport service, handling &amp; transport service, hiring of mobile crusher, tippers, pay- loaders and allied machinery at tapin south ocp for crushing of coal in..</t>
        </is>
      </c>
      <c r="K193" t="inlineStr">
        <is>
          <t>Coal transport (road)</t>
        </is>
      </c>
      <c r="L193" t="inlineStr">
        <is>
          <t>Central Coalfields Limited</t>
        </is>
      </c>
      <c r="M193" t="inlineStr">
        <is>
          <t>Jharkhand</t>
        </is>
      </c>
      <c r="N193" t="inlineStr">
        <is>
          <t>Hazaribagh</t>
        </is>
      </c>
      <c r="O193" s="5" t="n">
        <v>46156</v>
      </c>
      <c r="P193" t="inlineStr">
        <is>
          <t>AOC</t>
        </is>
      </c>
      <c r="Q193" t="inlineStr">
        <is>
          <t>Aakar Engineers And Contractors</t>
        </is>
      </c>
      <c r="R193" t="inlineStr"/>
      <c r="S193" t="inlineStr">
        <is>
          <t>5 named / 6</t>
        </is>
      </c>
      <c r="T193" t="n">
        <v>3.11</v>
      </c>
      <c r="U193" s="6">
        <f>IF(ISNUMBER(G193),MAX(MAX(G193,Settings!$B$13)*Settings!$B$7*Settings!$B$5,IF(ISNUMBER(Settings!$B$12),Settings!$B$12,0))*(1+IF(Settings!$B$11="Y",0,Settings!$B$10/100))+N(Settings!$B$9),"")</f>
        <v/>
      </c>
      <c r="W193" s="6">
        <f>IF(ISNUMBER(V193),IF(V193*Settings!$B$8&gt;1000,"beyond table",IFERROR(LOOKUP(V193*Settings!$B$8,'FOIS 145A'!$A$2:$A$22,'FOIS 145A'!$C$2:$C$22)*(1+IF(Settings!$B$11="Y",0,Settings!$B$10/100)),"")),"")</f>
        <v/>
      </c>
      <c r="X193" s="6">
        <f>IF(AND(ISNUMBER(U193),ISNUMBER(W193)),U193+W193,"")</f>
        <v/>
      </c>
      <c r="Y193">
        <f>Settings!$B$6</f>
        <v/>
      </c>
    </row>
    <row r="194">
      <c r="A194" t="inlineStr">
        <is>
          <t>No</t>
        </is>
      </c>
      <c r="B194" t="inlineStr">
        <is>
          <t>named mine/plant is far</t>
        </is>
      </c>
      <c r="C194" t="inlineStr"/>
      <c r="E194" t="inlineStr"/>
      <c r="H194" t="inlineStr">
        <is>
          <t>17488782</t>
        </is>
      </c>
      <c r="I194" t="inlineStr">
        <is>
          <t>GEM/2026/B/7443427</t>
        </is>
      </c>
      <c r="J194" t="inlineStr">
        <is>
          <t>handling &amp; transport service, crushing, loading and transportation of coal at gokul ocm of umrer area</t>
        </is>
      </c>
      <c r="K194" t="inlineStr">
        <is>
          <t>Coal transport (road)</t>
        </is>
      </c>
      <c r="L194" t="inlineStr">
        <is>
          <t>Western Coalfields Limited</t>
        </is>
      </c>
      <c r="M194" t="inlineStr">
        <is>
          <t>Maharashtra</t>
        </is>
      </c>
      <c r="N194" t="inlineStr">
        <is>
          <t>Nagpur</t>
        </is>
      </c>
      <c r="O194" s="5" t="n">
        <v>46142</v>
      </c>
      <c r="P194" t="inlineStr">
        <is>
          <t>AOC</t>
        </is>
      </c>
      <c r="Q194" t="inlineStr">
        <is>
          <t>Kvrr Infrastructure Private Limited</t>
        </is>
      </c>
      <c r="R194" t="inlineStr"/>
      <c r="S194" t="inlineStr">
        <is>
          <t>5 named / 16</t>
        </is>
      </c>
      <c r="T194" t="n">
        <v>306.35</v>
      </c>
      <c r="U194" s="6">
        <f>IF(ISNUMBER(G194),MAX(MAX(G194,Settings!$B$13)*Settings!$B$7*Settings!$B$5,IF(ISNUMBER(Settings!$B$12),Settings!$B$12,0))*(1+IF(Settings!$B$11="Y",0,Settings!$B$10/100))+N(Settings!$B$9),"")</f>
        <v/>
      </c>
      <c r="W194" s="6">
        <f>IF(ISNUMBER(V194),IF(V194*Settings!$B$8&gt;1000,"beyond table",IFERROR(LOOKUP(V194*Settings!$B$8,'FOIS 145A'!$A$2:$A$22,'FOIS 145A'!$C$2:$C$22)*(1+IF(Settings!$B$11="Y",0,Settings!$B$10/100)),"")),"")</f>
        <v/>
      </c>
      <c r="X194" s="6">
        <f>IF(AND(ISNUMBER(U194),ISNUMBER(W194)),U194+W194,"")</f>
        <v/>
      </c>
      <c r="Y194">
        <f>Settings!$B$6</f>
        <v/>
      </c>
    </row>
    <row r="195">
      <c r="A195" t="inlineStr">
        <is>
          <t>No</t>
        </is>
      </c>
      <c r="B195" t="inlineStr">
        <is>
          <t>named mine/plant is far</t>
        </is>
      </c>
      <c r="C195" t="inlineStr"/>
      <c r="E195" t="inlineStr"/>
      <c r="H195" t="inlineStr">
        <is>
          <t>17443292</t>
        </is>
      </c>
      <c r="I195" t="inlineStr">
        <is>
          <t>GEM/2026/B/7414527</t>
        </is>
      </c>
      <c r="J195" t="inlineStr">
        <is>
          <t>handling &amp; transport service, crushing and transportation of coal at kolgaon ocm, wani area</t>
        </is>
      </c>
      <c r="K195" t="inlineStr">
        <is>
          <t>Coal transport (road)</t>
        </is>
      </c>
      <c r="L195" t="inlineStr">
        <is>
          <t>Western Coalfields Limited</t>
        </is>
      </c>
      <c r="M195" t="inlineStr">
        <is>
          <t>Maharashtra</t>
        </is>
      </c>
      <c r="N195" t="inlineStr">
        <is>
          <t>Chandrapur</t>
        </is>
      </c>
      <c r="O195" s="5" t="n">
        <v>46132</v>
      </c>
      <c r="P195" t="inlineStr">
        <is>
          <t>AOC</t>
        </is>
      </c>
      <c r="Q195" t="inlineStr">
        <is>
          <t>Ch Kishore Kumar</t>
        </is>
      </c>
      <c r="R195" t="inlineStr"/>
      <c r="S195" t="inlineStr">
        <is>
          <t>5 named / 12</t>
        </is>
      </c>
      <c r="T195" t="n">
        <v>37.91</v>
      </c>
      <c r="U195" s="6">
        <f>IF(ISNUMBER(G195),MAX(MAX(G195,Settings!$B$13)*Settings!$B$7*Settings!$B$5,IF(ISNUMBER(Settings!$B$12),Settings!$B$12,0))*(1+IF(Settings!$B$11="Y",0,Settings!$B$10/100))+N(Settings!$B$9),"")</f>
        <v/>
      </c>
      <c r="W195" s="6">
        <f>IF(ISNUMBER(V195),IF(V195*Settings!$B$8&gt;1000,"beyond table",IFERROR(LOOKUP(V195*Settings!$B$8,'FOIS 145A'!$A$2:$A$22,'FOIS 145A'!$C$2:$C$22)*(1+IF(Settings!$B$11="Y",0,Settings!$B$10/100)),"")),"")</f>
        <v/>
      </c>
      <c r="X195" s="6">
        <f>IF(AND(ISNUMBER(U195),ISNUMBER(W195)),U195+W195,"")</f>
        <v/>
      </c>
      <c r="Y195">
        <f>Settings!$B$6</f>
        <v/>
      </c>
    </row>
    <row r="196">
      <c r="A196" t="inlineStr">
        <is>
          <t>No</t>
        </is>
      </c>
      <c r="B196" t="inlineStr">
        <is>
          <t>named mine/plant is far</t>
        </is>
      </c>
      <c r="C196" t="inlineStr"/>
      <c r="E196" t="inlineStr"/>
      <c r="H196" t="inlineStr">
        <is>
          <t>17065943</t>
        </is>
      </c>
      <c r="I196" t="inlineStr">
        <is>
          <t>GEM/2026/B/7411663</t>
        </is>
      </c>
      <c r="J196" t="inlineStr">
        <is>
          <t>handling &amp; transport service, loading of crushed coal into tippers and transportation of the same of semi mobile crusher of skm cursher at mkd-i ocm of umrer area</t>
        </is>
      </c>
      <c r="K196" t="inlineStr">
        <is>
          <t>Coal transport (road)</t>
        </is>
      </c>
      <c r="L196" t="inlineStr">
        <is>
          <t>Western Coalfields Limited</t>
        </is>
      </c>
      <c r="M196" t="inlineStr">
        <is>
          <t>Maharashtra</t>
        </is>
      </c>
      <c r="N196" t="inlineStr">
        <is>
          <t>Nagpur</t>
        </is>
      </c>
      <c r="O196" s="5" t="n">
        <v>46129</v>
      </c>
      <c r="P196" t="inlineStr">
        <is>
          <t>Financial</t>
        </is>
      </c>
      <c r="Q196" t="inlineStr">
        <is>
          <t>-</t>
        </is>
      </c>
      <c r="R196" t="inlineStr">
        <is>
          <t>Saikrupa Coal Supplier</t>
        </is>
      </c>
      <c r="S196" t="inlineStr">
        <is>
          <t>4 named / 4</t>
        </is>
      </c>
      <c r="U196" s="6">
        <f>IF(ISNUMBER(G196),MAX(MAX(G196,Settings!$B$13)*Settings!$B$7*Settings!$B$5,IF(ISNUMBER(Settings!$B$12),Settings!$B$12,0))*(1+IF(Settings!$B$11="Y",0,Settings!$B$10/100))+N(Settings!$B$9),"")</f>
        <v/>
      </c>
      <c r="W196" s="6">
        <f>IF(ISNUMBER(V196),IF(V196*Settings!$B$8&gt;1000,"beyond table",IFERROR(LOOKUP(V196*Settings!$B$8,'FOIS 145A'!$A$2:$A$22,'FOIS 145A'!$C$2:$C$22)*(1+IF(Settings!$B$11="Y",0,Settings!$B$10/100)),"")),"")</f>
        <v/>
      </c>
      <c r="X196" s="6">
        <f>IF(AND(ISNUMBER(U196),ISNUMBER(W196)),U196+W196,"")</f>
        <v/>
      </c>
      <c r="Y196">
        <f>Settings!$B$6</f>
        <v/>
      </c>
    </row>
    <row r="197">
      <c r="A197" t="inlineStr">
        <is>
          <t>No</t>
        </is>
      </c>
      <c r="B197" t="inlineStr">
        <is>
          <t>mine = coal company's tender in Maharashtra; named mine/plant is far</t>
        </is>
      </c>
      <c r="C197" t="inlineStr"/>
      <c r="E197" t="inlineStr"/>
      <c r="H197" t="inlineStr">
        <is>
          <t>17287100</t>
        </is>
      </c>
      <c r="I197" t="inlineStr">
        <is>
          <t>GEM/2026/B/7394856</t>
        </is>
      </c>
      <c r="J197" t="inlineStr">
        <is>
          <t>handling &amp; transport service, coal transportation at amalgamated gouri pouni (e) ocm of ballarpur area</t>
        </is>
      </c>
      <c r="K197" t="inlineStr">
        <is>
          <t>Coal transport (road)</t>
        </is>
      </c>
      <c r="L197" t="inlineStr">
        <is>
          <t>Western Coalfields Limited</t>
        </is>
      </c>
      <c r="M197" t="inlineStr">
        <is>
          <t>Maharashtra</t>
        </is>
      </c>
      <c r="N197" t="inlineStr">
        <is>
          <t>Chandrapur</t>
        </is>
      </c>
      <c r="O197" s="5" t="n">
        <v>46125</v>
      </c>
      <c r="P197" t="inlineStr">
        <is>
          <t>AOC</t>
        </is>
      </c>
      <c r="Q197" t="inlineStr">
        <is>
          <t>Menakshi Con</t>
        </is>
      </c>
      <c r="R197" t="inlineStr"/>
      <c r="S197" t="inlineStr">
        <is>
          <t>5 named / 7</t>
        </is>
      </c>
      <c r="T197" t="n">
        <v>27.06</v>
      </c>
      <c r="U197" s="6">
        <f>IF(ISNUMBER(G197),MAX(MAX(G197,Settings!$B$13)*Settings!$B$7*Settings!$B$5,IF(ISNUMBER(Settings!$B$12),Settings!$B$12,0))*(1+IF(Settings!$B$11="Y",0,Settings!$B$10/100))+N(Settings!$B$9),"")</f>
        <v/>
      </c>
      <c r="W197" s="6">
        <f>IF(ISNUMBER(V197),IF(V197*Settings!$B$8&gt;1000,"beyond table",IFERROR(LOOKUP(V197*Settings!$B$8,'FOIS 145A'!$A$2:$A$22,'FOIS 145A'!$C$2:$C$22)*(1+IF(Settings!$B$11="Y",0,Settings!$B$10/100)),"")),"")</f>
        <v/>
      </c>
      <c r="X197" s="6">
        <f>IF(AND(ISNUMBER(U197),ISNUMBER(W197)),U197+W197,"")</f>
        <v/>
      </c>
      <c r="Y197">
        <f>Settings!$B$6</f>
        <v/>
      </c>
    </row>
    <row r="198">
      <c r="A198" t="inlineStr">
        <is>
          <t>No</t>
        </is>
      </c>
      <c r="B198" t="inlineStr">
        <is>
          <t>mine = coal company's tender in Madhya Pradesh; named mine/plant is far</t>
        </is>
      </c>
      <c r="C198" t="inlineStr"/>
      <c r="E198" t="inlineStr"/>
      <c r="H198" t="inlineStr">
        <is>
          <t>17072176</t>
        </is>
      </c>
      <c r="I198" t="inlineStr">
        <is>
          <t>GEM/2026/B/7362523</t>
        </is>
      </c>
      <c r="J198" t="inlineStr">
        <is>
          <t>handling &amp; transport service, loading and transportation of coal from surface miner face at khadia project</t>
        </is>
      </c>
      <c r="K198" t="inlineStr">
        <is>
          <t>Coal transport (road)</t>
        </is>
      </c>
      <c r="L198" t="inlineStr">
        <is>
          <t>Northern Coalfields Limited</t>
        </is>
      </c>
      <c r="M198" t="inlineStr">
        <is>
          <t>Madhya Pradesh</t>
        </is>
      </c>
      <c r="N198" t="inlineStr">
        <is>
          <t>Sidhi</t>
        </is>
      </c>
      <c r="O198" s="5" t="n">
        <v>46112</v>
      </c>
      <c r="P198" t="inlineStr">
        <is>
          <t>AOC</t>
        </is>
      </c>
      <c r="Q198" t="inlineStr">
        <is>
          <t>Padmanabh Infra</t>
        </is>
      </c>
      <c r="R198" t="inlineStr"/>
      <c r="S198" t="inlineStr">
        <is>
          <t>5 named / 16</t>
        </is>
      </c>
      <c r="T198" t="n">
        <v>43.88</v>
      </c>
      <c r="U198" s="6">
        <f>IF(ISNUMBER(G198),MAX(MAX(G198,Settings!$B$13)*Settings!$B$7*Settings!$B$5,IF(ISNUMBER(Settings!$B$12),Settings!$B$12,0))*(1+IF(Settings!$B$11="Y",0,Settings!$B$10/100))+N(Settings!$B$9),"")</f>
        <v/>
      </c>
      <c r="W198" s="6">
        <f>IF(ISNUMBER(V198),IF(V198*Settings!$B$8&gt;1000,"beyond table",IFERROR(LOOKUP(V198*Settings!$B$8,'FOIS 145A'!$A$2:$A$22,'FOIS 145A'!$C$2:$C$22)*(1+IF(Settings!$B$11="Y",0,Settings!$B$10/100)),"")),"")</f>
        <v/>
      </c>
      <c r="X198" s="6">
        <f>IF(AND(ISNUMBER(U198),ISNUMBER(W198)),U198+W198,"")</f>
        <v/>
      </c>
      <c r="Y198">
        <f>Settings!$B$6</f>
        <v/>
      </c>
    </row>
    <row r="199">
      <c r="A199" t="inlineStr">
        <is>
          <t>No</t>
        </is>
      </c>
      <c r="B199" t="inlineStr">
        <is>
          <t>named mine/plant is far</t>
        </is>
      </c>
      <c r="C199" t="inlineStr"/>
      <c r="E199" t="inlineStr"/>
      <c r="H199" t="inlineStr">
        <is>
          <t>17183359</t>
        </is>
      </c>
      <c r="I199" t="inlineStr">
        <is>
          <t>GEM/2026/B/7340568</t>
        </is>
      </c>
      <c r="J199" t="inlineStr">
        <is>
          <t>handling &amp; transport service, crushing and transportation of coal at penganga ocm, wani area</t>
        </is>
      </c>
      <c r="K199" t="inlineStr">
        <is>
          <t>Coal transport (road)</t>
        </is>
      </c>
      <c r="L199" t="inlineStr">
        <is>
          <t>Western Coalfields Limited</t>
        </is>
      </c>
      <c r="M199" t="inlineStr">
        <is>
          <t>Maharashtra</t>
        </is>
      </c>
      <c r="N199" t="inlineStr">
        <is>
          <t>Chandrapur</t>
        </is>
      </c>
      <c r="O199" s="5" t="n">
        <v>46108</v>
      </c>
      <c r="P199" t="inlineStr">
        <is>
          <t>AOC</t>
        </is>
      </c>
      <c r="Q199" t="inlineStr">
        <is>
          <t>Shashi Structural Engineers Private Limited</t>
        </is>
      </c>
      <c r="R199" t="inlineStr">
        <is>
          <t>Saikrupa Coal Supplier</t>
        </is>
      </c>
      <c r="S199" t="inlineStr">
        <is>
          <t>5 named / 7</t>
        </is>
      </c>
      <c r="T199" t="n">
        <v>21.19</v>
      </c>
      <c r="U199" s="6">
        <f>IF(ISNUMBER(G199),MAX(MAX(G199,Settings!$B$13)*Settings!$B$7*Settings!$B$5,IF(ISNUMBER(Settings!$B$12),Settings!$B$12,0))*(1+IF(Settings!$B$11="Y",0,Settings!$B$10/100))+N(Settings!$B$9),"")</f>
        <v/>
      </c>
      <c r="W199" s="6">
        <f>IF(ISNUMBER(V199),IF(V199*Settings!$B$8&gt;1000,"beyond table",IFERROR(LOOKUP(V199*Settings!$B$8,'FOIS 145A'!$A$2:$A$22,'FOIS 145A'!$C$2:$C$22)*(1+IF(Settings!$B$11="Y",0,Settings!$B$10/100)),"")),"")</f>
        <v/>
      </c>
      <c r="X199" s="6">
        <f>IF(AND(ISNUMBER(U199),ISNUMBER(W199)),U199+W199,"")</f>
        <v/>
      </c>
      <c r="Y199">
        <f>Settings!$B$6</f>
        <v/>
      </c>
    </row>
    <row r="200">
      <c r="A200" t="inlineStr">
        <is>
          <t>No</t>
        </is>
      </c>
      <c r="B200" t="inlineStr">
        <is>
          <t>named mine/plant is far</t>
        </is>
      </c>
      <c r="C200" t="inlineStr"/>
      <c r="E200" t="inlineStr"/>
      <c r="H200" t="inlineStr">
        <is>
          <t>16860254</t>
        </is>
      </c>
      <c r="I200" t="inlineStr">
        <is>
          <t>2026_NTPC_105758_1</t>
        </is>
      </c>
      <c r="J200" t="inlineStr">
        <is>
          <t>transportation of 12 lmt coal under rsr mode from mcl mines to kudgi - as per sow</t>
        </is>
      </c>
      <c r="K200" t="inlineStr">
        <is>
          <t>Coal transport (road)</t>
        </is>
      </c>
      <c r="L200" t="inlineStr">
        <is>
          <t>National Thermal Power Corporation Limited</t>
        </is>
      </c>
      <c r="M200" t="inlineStr">
        <is>
          <t>Chhattisgarh</t>
        </is>
      </c>
      <c r="N200" t="inlineStr">
        <is>
          <t>Raipur</t>
        </is>
      </c>
      <c r="O200" s="5" t="n">
        <v>46106</v>
      </c>
      <c r="P200" t="inlineStr">
        <is>
          <t>Financial</t>
        </is>
      </c>
      <c r="Q200" t="inlineStr">
        <is>
          <t>-</t>
        </is>
      </c>
      <c r="R200" t="inlineStr">
        <is>
          <t>Mohit Minerals</t>
        </is>
      </c>
      <c r="S200" t="inlineStr">
        <is>
          <t>5 named / 5</t>
        </is>
      </c>
      <c r="U200" s="6">
        <f>IF(ISNUMBER(G200),MAX(MAX(G200,Settings!$B$13)*Settings!$B$7*Settings!$B$5,IF(ISNUMBER(Settings!$B$12),Settings!$B$12,0))*(1+IF(Settings!$B$11="Y",0,Settings!$B$10/100))+N(Settings!$B$9),"")</f>
        <v/>
      </c>
      <c r="W200" s="6">
        <f>IF(ISNUMBER(V200),IF(V200*Settings!$B$8&gt;1000,"beyond table",IFERROR(LOOKUP(V200*Settings!$B$8,'FOIS 145A'!$A$2:$A$22,'FOIS 145A'!$C$2:$C$22)*(1+IF(Settings!$B$11="Y",0,Settings!$B$10/100)),"")),"")</f>
        <v/>
      </c>
      <c r="X200" s="6">
        <f>IF(AND(ISNUMBER(U200),ISNUMBER(W200)),U200+W200,"")</f>
        <v/>
      </c>
      <c r="Y200">
        <f>Settings!$B$6</f>
        <v/>
      </c>
    </row>
    <row r="201">
      <c r="A201" t="inlineStr">
        <is>
          <t>No</t>
        </is>
      </c>
      <c r="B201" t="inlineStr">
        <is>
          <t>mine = coal company's tender in Madhya Pradesh; named mine/plant is far</t>
        </is>
      </c>
      <c r="C201" t="inlineStr"/>
      <c r="E201" t="inlineStr"/>
      <c r="H201" t="inlineStr">
        <is>
          <t>17085568</t>
        </is>
      </c>
      <c r="I201" t="inlineStr">
        <is>
          <t>GEM/2026/B/7253339</t>
        </is>
      </c>
      <c r="J201" t="inlineStr">
        <is>
          <t>handling service, transport service, handling &amp; transport service, hiring of payloader for mechanical loading of coal and hiring of tipper for transportation of coal from sharda..</t>
        </is>
      </c>
      <c r="K201" t="inlineStr">
        <is>
          <t>Coal transport (road)</t>
        </is>
      </c>
      <c r="L201" t="inlineStr">
        <is>
          <t>South Eastern Coalfields Limited</t>
        </is>
      </c>
      <c r="M201" t="inlineStr">
        <is>
          <t>Madhya Pradesh</t>
        </is>
      </c>
      <c r="N201" t="inlineStr">
        <is>
          <t>Anuppur</t>
        </is>
      </c>
      <c r="O201" s="5" t="n">
        <v>46086</v>
      </c>
      <c r="P201" t="inlineStr">
        <is>
          <t>AOC</t>
        </is>
      </c>
      <c r="Q201" t="inlineStr">
        <is>
          <t>Nakul Tiwari</t>
        </is>
      </c>
      <c r="R201" t="inlineStr">
        <is>
          <t>Chandan Kumar Singh</t>
        </is>
      </c>
      <c r="S201" t="inlineStr">
        <is>
          <t>5 named / 7</t>
        </is>
      </c>
      <c r="T201" t="n">
        <v>30.12</v>
      </c>
      <c r="U201" s="6">
        <f>IF(ISNUMBER(G201),MAX(MAX(G201,Settings!$B$13)*Settings!$B$7*Settings!$B$5,IF(ISNUMBER(Settings!$B$12),Settings!$B$12,0))*(1+IF(Settings!$B$11="Y",0,Settings!$B$10/100))+N(Settings!$B$9),"")</f>
        <v/>
      </c>
      <c r="W201" s="6">
        <f>IF(ISNUMBER(V201),IF(V201*Settings!$B$8&gt;1000,"beyond table",IFERROR(LOOKUP(V201*Settings!$B$8,'FOIS 145A'!$A$2:$A$22,'FOIS 145A'!$C$2:$C$22)*(1+IF(Settings!$B$11="Y",0,Settings!$B$10/100)),"")),"")</f>
        <v/>
      </c>
      <c r="X201" s="6">
        <f>IF(AND(ISNUMBER(U201),ISNUMBER(W201)),U201+W201,"")</f>
        <v/>
      </c>
      <c r="Y201">
        <f>Settings!$B$6</f>
        <v/>
      </c>
    </row>
    <row r="202">
      <c r="A202" t="inlineStr">
        <is>
          <t>No</t>
        </is>
      </c>
      <c r="B202" t="inlineStr">
        <is>
          <t>mine = coal company's tender in Maharashtra; named mine/plant is far</t>
        </is>
      </c>
      <c r="C202" t="inlineStr"/>
      <c r="E202" t="inlineStr"/>
      <c r="H202" t="inlineStr">
        <is>
          <t>16688466</t>
        </is>
      </c>
      <c r="I202" t="inlineStr">
        <is>
          <t>GEM/2026/B/7235250</t>
        </is>
      </c>
      <c r="J202" t="inlineStr">
        <is>
          <t>transport service, 13297568 transportation of rom coal from coal stock yard heap no. 1 at gokul ocm</t>
        </is>
      </c>
      <c r="K202" t="inlineStr">
        <is>
          <t>Coal transport (road)</t>
        </is>
      </c>
      <c r="L202" t="inlineStr">
        <is>
          <t>Western Coalfields Limited</t>
        </is>
      </c>
      <c r="M202" t="inlineStr">
        <is>
          <t>Maharashtra</t>
        </is>
      </c>
      <c r="N202" t="inlineStr">
        <is>
          <t>Nagpur</t>
        </is>
      </c>
      <c r="O202" s="5" t="n">
        <v>46085</v>
      </c>
      <c r="P202" t="inlineStr">
        <is>
          <t>Financial</t>
        </is>
      </c>
      <c r="Q202" t="inlineStr">
        <is>
          <t>-</t>
        </is>
      </c>
      <c r="R202" t="inlineStr">
        <is>
          <t>Saikrupa Coal Supplier</t>
        </is>
      </c>
      <c r="S202" t="inlineStr">
        <is>
          <t>3 named / 3</t>
        </is>
      </c>
      <c r="U202" s="6">
        <f>IF(ISNUMBER(G202),MAX(MAX(G202,Settings!$B$13)*Settings!$B$7*Settings!$B$5,IF(ISNUMBER(Settings!$B$12),Settings!$B$12,0))*(1+IF(Settings!$B$11="Y",0,Settings!$B$10/100))+N(Settings!$B$9),"")</f>
        <v/>
      </c>
      <c r="W202" s="6">
        <f>IF(ISNUMBER(V202),IF(V202*Settings!$B$8&gt;1000,"beyond table",IFERROR(LOOKUP(V202*Settings!$B$8,'FOIS 145A'!$A$2:$A$22,'FOIS 145A'!$C$2:$C$22)*(1+IF(Settings!$B$11="Y",0,Settings!$B$10/100)),"")),"")</f>
        <v/>
      </c>
      <c r="X202" s="6">
        <f>IF(AND(ISNUMBER(U202),ISNUMBER(W202)),U202+W202,"")</f>
        <v/>
      </c>
      <c r="Y202">
        <f>Settings!$B$6</f>
        <v/>
      </c>
    </row>
    <row r="203">
      <c r="A203" t="inlineStr">
        <is>
          <t>No</t>
        </is>
      </c>
      <c r="B203" t="inlineStr">
        <is>
          <t>mine = coal company's tender in Jharkhand; named mine/plant is far</t>
        </is>
      </c>
      <c r="C203" t="inlineStr"/>
      <c r="E203" t="inlineStr"/>
      <c r="H203" t="inlineStr">
        <is>
          <t>17071956</t>
        </is>
      </c>
      <c r="I203" t="inlineStr">
        <is>
          <t>GEM/2026/B/7206619</t>
        </is>
      </c>
      <c r="J203" t="inlineStr">
        <is>
          <t>handling &amp; transport service, crushing loading &amp; transport of coal</t>
        </is>
      </c>
      <c r="K203" t="inlineStr">
        <is>
          <t>Coal transport (road)</t>
        </is>
      </c>
      <c r="L203" t="inlineStr">
        <is>
          <t>Central Coalfields Limited</t>
        </is>
      </c>
      <c r="M203" t="inlineStr">
        <is>
          <t>Jharkhand</t>
        </is>
      </c>
      <c r="N203" t="inlineStr">
        <is>
          <t>Bokaro</t>
        </is>
      </c>
      <c r="O203" s="5" t="n">
        <v>46083</v>
      </c>
      <c r="P203" t="inlineStr">
        <is>
          <t>AOC</t>
        </is>
      </c>
      <c r="Q203" t="inlineStr">
        <is>
          <t>Variant Commercial Private Limited</t>
        </is>
      </c>
      <c r="R203" t="inlineStr"/>
      <c r="S203" t="inlineStr">
        <is>
          <t>2 named / 2</t>
        </is>
      </c>
      <c r="T203" t="n">
        <v>2.44</v>
      </c>
      <c r="U203" s="6">
        <f>IF(ISNUMBER(G203),MAX(MAX(G203,Settings!$B$13)*Settings!$B$7*Settings!$B$5,IF(ISNUMBER(Settings!$B$12),Settings!$B$12,0))*(1+IF(Settings!$B$11="Y",0,Settings!$B$10/100))+N(Settings!$B$9),"")</f>
        <v/>
      </c>
      <c r="W203" s="6">
        <f>IF(ISNUMBER(V203),IF(V203*Settings!$B$8&gt;1000,"beyond table",IFERROR(LOOKUP(V203*Settings!$B$8,'FOIS 145A'!$A$2:$A$22,'FOIS 145A'!$C$2:$C$22)*(1+IF(Settings!$B$11="Y",0,Settings!$B$10/100)),"")),"")</f>
        <v/>
      </c>
      <c r="X203" s="6">
        <f>IF(AND(ISNUMBER(U203),ISNUMBER(W203)),U203+W203,"")</f>
        <v/>
      </c>
      <c r="Y203">
        <f>Settings!$B$6</f>
        <v/>
      </c>
    </row>
    <row r="204">
      <c r="A204" t="inlineStr">
        <is>
          <t>No</t>
        </is>
      </c>
      <c r="B204" t="inlineStr">
        <is>
          <t>named mine/plant is far</t>
        </is>
      </c>
      <c r="C204" t="inlineStr"/>
      <c r="E204" t="inlineStr"/>
      <c r="H204" t="inlineStr">
        <is>
          <t>16700712</t>
        </is>
      </c>
      <c r="I204" t="inlineStr">
        <is>
          <t>GEM/2026/B/7242816</t>
        </is>
      </c>
      <c r="J204" t="inlineStr">
        <is>
          <t>transport service, 14707980 transportation of crushed coal from discharge point of ir crusher of umrer ocm chp by hiring of tipper, loaded by hired pay loader to entire length ..</t>
        </is>
      </c>
      <c r="K204" t="inlineStr">
        <is>
          <t>Coal transport (road)</t>
        </is>
      </c>
      <c r="L204" t="inlineStr">
        <is>
          <t>Western Coalfields Limited</t>
        </is>
      </c>
      <c r="M204" t="inlineStr">
        <is>
          <t>Maharashtra</t>
        </is>
      </c>
      <c r="N204" t="inlineStr">
        <is>
          <t>Nagpur</t>
        </is>
      </c>
      <c r="O204" s="5" t="n">
        <v>46083</v>
      </c>
      <c r="P204" t="inlineStr">
        <is>
          <t>Financial</t>
        </is>
      </c>
      <c r="Q204" t="inlineStr">
        <is>
          <t>-</t>
        </is>
      </c>
      <c r="R204" t="inlineStr">
        <is>
          <t>Saikrupa Coal Supplier</t>
        </is>
      </c>
      <c r="S204" t="inlineStr">
        <is>
          <t>5 named / 5</t>
        </is>
      </c>
      <c r="U204" s="6">
        <f>IF(ISNUMBER(G204),MAX(MAX(G204,Settings!$B$13)*Settings!$B$7*Settings!$B$5,IF(ISNUMBER(Settings!$B$12),Settings!$B$12,0))*(1+IF(Settings!$B$11="Y",0,Settings!$B$10/100))+N(Settings!$B$9),"")</f>
        <v/>
      </c>
      <c r="W204" s="6">
        <f>IF(ISNUMBER(V204),IF(V204*Settings!$B$8&gt;1000,"beyond table",IFERROR(LOOKUP(V204*Settings!$B$8,'FOIS 145A'!$A$2:$A$22,'FOIS 145A'!$C$2:$C$22)*(1+IF(Settings!$B$11="Y",0,Settings!$B$10/100)),"")),"")</f>
        <v/>
      </c>
      <c r="X204" s="6">
        <f>IF(AND(ISNUMBER(U204),ISNUMBER(W204)),U204+W204,"")</f>
        <v/>
      </c>
      <c r="Y204">
        <f>Settings!$B$6</f>
        <v/>
      </c>
    </row>
    <row r="205">
      <c r="A205" t="inlineStr">
        <is>
          <t>No</t>
        </is>
      </c>
      <c r="B205" t="inlineStr">
        <is>
          <t>mine = coal company's tender in Maharashtra; named mine/plant is far</t>
        </is>
      </c>
      <c r="C205" t="inlineStr"/>
      <c r="E205" t="inlineStr"/>
      <c r="H205" t="inlineStr">
        <is>
          <t>16647909</t>
        </is>
      </c>
      <c r="I205" t="inlineStr">
        <is>
          <t>GEM/2026/B/7063083</t>
        </is>
      </c>
      <c r="J205" t="inlineStr">
        <is>
          <t>handling &amp; transport service, crushing of rom coal by hiring of mobile crusher, transportation of crushed coal and loading of rom coal by hiring of pay loader at adasa ug to oc ..</t>
        </is>
      </c>
      <c r="K205" t="inlineStr">
        <is>
          <t>Coal transport (road)</t>
        </is>
      </c>
      <c r="L205" t="inlineStr">
        <is>
          <t>Western Coalfields Limited</t>
        </is>
      </c>
      <c r="M205" t="inlineStr">
        <is>
          <t>Maharashtra</t>
        </is>
      </c>
      <c r="N205" t="inlineStr">
        <is>
          <t>Nagpur</t>
        </is>
      </c>
      <c r="O205" s="5" t="n">
        <v>46049</v>
      </c>
      <c r="P205" t="inlineStr">
        <is>
          <t>AOC</t>
        </is>
      </c>
      <c r="Q205" t="inlineStr">
        <is>
          <t>Krishna Infrastructure</t>
        </is>
      </c>
      <c r="R205" t="inlineStr">
        <is>
          <t>G K Associates</t>
        </is>
      </c>
      <c r="S205" t="inlineStr">
        <is>
          <t>5 named / 18</t>
        </is>
      </c>
      <c r="T205" t="n">
        <v>34.06</v>
      </c>
      <c r="U205" s="6">
        <f>IF(ISNUMBER(G205),MAX(MAX(G205,Settings!$B$13)*Settings!$B$7*Settings!$B$5,IF(ISNUMBER(Settings!$B$12),Settings!$B$12,0))*(1+IF(Settings!$B$11="Y",0,Settings!$B$10/100))+N(Settings!$B$9),"")</f>
        <v/>
      </c>
      <c r="W205" s="6">
        <f>IF(ISNUMBER(V205),IF(V205*Settings!$B$8&gt;1000,"beyond table",IFERROR(LOOKUP(V205*Settings!$B$8,'FOIS 145A'!$A$2:$A$22,'FOIS 145A'!$C$2:$C$22)*(1+IF(Settings!$B$11="Y",0,Settings!$B$10/100)),"")),"")</f>
        <v/>
      </c>
      <c r="X205" s="6">
        <f>IF(AND(ISNUMBER(U205),ISNUMBER(W205)),U205+W205,"")</f>
        <v/>
      </c>
      <c r="Y205">
        <f>Settings!$B$6</f>
        <v/>
      </c>
    </row>
    <row r="206">
      <c r="A206" t="inlineStr">
        <is>
          <t>No</t>
        </is>
      </c>
      <c r="B206" t="inlineStr">
        <is>
          <t>mine = coal company's tender in Maharashtra; named mine/plant is far</t>
        </is>
      </c>
      <c r="C206" t="inlineStr"/>
      <c r="E206" t="inlineStr"/>
      <c r="H206" t="inlineStr">
        <is>
          <t>16247259</t>
        </is>
      </c>
      <c r="I206" t="inlineStr">
        <is>
          <t>GEM/2026/B/7066302</t>
        </is>
      </c>
      <c r="J206" t="inlineStr">
        <is>
          <t>handling &amp; transport service, transportation of crushed coal at amal yekona i and ii oc mine majri area</t>
        </is>
      </c>
      <c r="K206" t="inlineStr">
        <is>
          <t>Coal transport (road)</t>
        </is>
      </c>
      <c r="L206" t="inlineStr">
        <is>
          <t>Western Coalfields Limited</t>
        </is>
      </c>
      <c r="M206" t="inlineStr">
        <is>
          <t>Maharashtra</t>
        </is>
      </c>
      <c r="N206" t="inlineStr">
        <is>
          <t>Chandrapur</t>
        </is>
      </c>
      <c r="O206" s="5" t="n">
        <v>46045</v>
      </c>
      <c r="P206" t="inlineStr">
        <is>
          <t>AOC</t>
        </is>
      </c>
      <c r="Q206" t="inlineStr">
        <is>
          <t>Chadda Infraprojects Llp</t>
        </is>
      </c>
      <c r="R206" t="inlineStr">
        <is>
          <t>Vikas Coal and Minerals</t>
        </is>
      </c>
      <c r="S206" t="inlineStr">
        <is>
          <t>2 named / 2</t>
        </is>
      </c>
      <c r="T206" t="n">
        <v>1.58</v>
      </c>
      <c r="U206" s="6">
        <f>IF(ISNUMBER(G206),MAX(MAX(G206,Settings!$B$13)*Settings!$B$7*Settings!$B$5,IF(ISNUMBER(Settings!$B$12),Settings!$B$12,0))*(1+IF(Settings!$B$11="Y",0,Settings!$B$10/100))+N(Settings!$B$9),"")</f>
        <v/>
      </c>
      <c r="W206" s="6">
        <f>IF(ISNUMBER(V206),IF(V206*Settings!$B$8&gt;1000,"beyond table",IFERROR(LOOKUP(V206*Settings!$B$8,'FOIS 145A'!$A$2:$A$22,'FOIS 145A'!$C$2:$C$22)*(1+IF(Settings!$B$11="Y",0,Settings!$B$10/100)),"")),"")</f>
        <v/>
      </c>
      <c r="X206" s="6">
        <f>IF(AND(ISNUMBER(U206),ISNUMBER(W206)),U206+W206,"")</f>
        <v/>
      </c>
      <c r="Y206">
        <f>Settings!$B$6</f>
        <v/>
      </c>
    </row>
    <row r="207">
      <c r="A207" t="inlineStr">
        <is>
          <t>No</t>
        </is>
      </c>
      <c r="B207" t="inlineStr">
        <is>
          <t>named mine/plant is far</t>
        </is>
      </c>
      <c r="C207" t="inlineStr"/>
      <c r="E207" t="inlineStr"/>
      <c r="H207" t="inlineStr">
        <is>
          <t>16820948</t>
        </is>
      </c>
      <c r="I207" t="inlineStr">
        <is>
          <t>GEM/2026/B/7064146</t>
        </is>
      </c>
      <c r="J207" t="inlineStr">
        <is>
          <t>handling &amp; transport service, coal transportation at ghonsa ocm of wani north area</t>
        </is>
      </c>
      <c r="K207" t="inlineStr">
        <is>
          <t>Coal transport (road)</t>
        </is>
      </c>
      <c r="L207" t="inlineStr">
        <is>
          <t>Western Coalfields Limited</t>
        </is>
      </c>
      <c r="M207" t="inlineStr">
        <is>
          <t>Maharashtra</t>
        </is>
      </c>
      <c r="N207" t="inlineStr">
        <is>
          <t>Yavatmal</t>
        </is>
      </c>
      <c r="O207" s="5" t="n">
        <v>46041</v>
      </c>
      <c r="P207" t="inlineStr">
        <is>
          <t>AOC</t>
        </is>
      </c>
      <c r="Q207" t="inlineStr">
        <is>
          <t>Krishna Infrastructure</t>
        </is>
      </c>
      <c r="R207" t="inlineStr"/>
      <c r="S207" t="inlineStr">
        <is>
          <t>5 named / 13</t>
        </is>
      </c>
      <c r="T207" t="n">
        <v>33.25</v>
      </c>
      <c r="U207" s="6">
        <f>IF(ISNUMBER(G207),MAX(MAX(G207,Settings!$B$13)*Settings!$B$7*Settings!$B$5,IF(ISNUMBER(Settings!$B$12),Settings!$B$12,0))*(1+IF(Settings!$B$11="Y",0,Settings!$B$10/100))+N(Settings!$B$9),"")</f>
        <v/>
      </c>
      <c r="W207" s="6">
        <f>IF(ISNUMBER(V207),IF(V207*Settings!$B$8&gt;1000,"beyond table",IFERROR(LOOKUP(V207*Settings!$B$8,'FOIS 145A'!$A$2:$A$22,'FOIS 145A'!$C$2:$C$22)*(1+IF(Settings!$B$11="Y",0,Settings!$B$10/100)),"")),"")</f>
        <v/>
      </c>
      <c r="X207" s="6">
        <f>IF(AND(ISNUMBER(U207),ISNUMBER(W207)),U207+W207,"")</f>
        <v/>
      </c>
      <c r="Y207">
        <f>Settings!$B$6</f>
        <v/>
      </c>
    </row>
    <row r="208">
      <c r="A208" t="inlineStr">
        <is>
          <t>No</t>
        </is>
      </c>
      <c r="B208" t="inlineStr">
        <is>
          <t>mine = coal company's tender in West Bengal; named mine/plant is far</t>
        </is>
      </c>
      <c r="C208" t="inlineStr"/>
      <c r="E208" t="inlineStr"/>
      <c r="H208" t="inlineStr">
        <is>
          <t>16396221</t>
        </is>
      </c>
      <c r="I208" t="inlineStr">
        <is>
          <t>GEM/2025/B/7053538</t>
        </is>
      </c>
      <c r="J208" t="inlineStr">
        <is>
          <t>extraction, loading, transportation crushing of coal</t>
        </is>
      </c>
      <c r="K208" t="inlineStr">
        <is>
          <t>Coal transport (road)</t>
        </is>
      </c>
      <c r="L208" t="inlineStr">
        <is>
          <t>Eastern Coal Fields Limited</t>
        </is>
      </c>
      <c r="M208" t="inlineStr">
        <is>
          <t>West Bengal</t>
        </is>
      </c>
      <c r="N208" t="inlineStr">
        <is>
          <t>Bardhaman</t>
        </is>
      </c>
      <c r="O208" s="5" t="n">
        <v>46035</v>
      </c>
      <c r="P208" t="inlineStr">
        <is>
          <t>AOC</t>
        </is>
      </c>
      <c r="Q208" t="inlineStr">
        <is>
          <t>Om Sharda Logistics Private Limited</t>
        </is>
      </c>
      <c r="R208" t="inlineStr"/>
      <c r="S208" t="inlineStr">
        <is>
          <t>3 named / 3</t>
        </is>
      </c>
      <c r="T208" t="n">
        <v>13.21</v>
      </c>
      <c r="U208" s="6">
        <f>IF(ISNUMBER(G208),MAX(MAX(G208,Settings!$B$13)*Settings!$B$7*Settings!$B$5,IF(ISNUMBER(Settings!$B$12),Settings!$B$12,0))*(1+IF(Settings!$B$11="Y",0,Settings!$B$10/100))+N(Settings!$B$9),"")</f>
        <v/>
      </c>
      <c r="W208" s="6">
        <f>IF(ISNUMBER(V208),IF(V208*Settings!$B$8&gt;1000,"beyond table",IFERROR(LOOKUP(V208*Settings!$B$8,'FOIS 145A'!$A$2:$A$22,'FOIS 145A'!$C$2:$C$22)*(1+IF(Settings!$B$11="Y",0,Settings!$B$10/100)),"")),"")</f>
        <v/>
      </c>
      <c r="X208" s="6">
        <f>IF(AND(ISNUMBER(U208),ISNUMBER(W208)),U208+W208,"")</f>
        <v/>
      </c>
      <c r="Y208">
        <f>Settings!$B$6</f>
        <v/>
      </c>
    </row>
    <row r="209">
      <c r="A209" t="inlineStr">
        <is>
          <t>No</t>
        </is>
      </c>
      <c r="B209" t="inlineStr">
        <is>
          <t>named mine/plant is far</t>
        </is>
      </c>
      <c r="C209" t="inlineStr"/>
      <c r="E209" t="inlineStr"/>
      <c r="H209" t="inlineStr">
        <is>
          <t>16104399</t>
        </is>
      </c>
      <c r="I209" t="inlineStr">
        <is>
          <t>2025_NTPC_103221_1</t>
        </is>
      </c>
      <c r="J209" t="inlineStr">
        <is>
          <t>mechanised loading of coal from ntpc tanda st-i coal yard and transportation to ntpc tanda st-ii coal yard.</t>
        </is>
      </c>
      <c r="K209" t="inlineStr">
        <is>
          <t>Coal transport (road)</t>
        </is>
      </c>
      <c r="L209" t="inlineStr">
        <is>
          <t>National Thermal Power Corporation Limited</t>
        </is>
      </c>
      <c r="M209" t="inlineStr">
        <is>
          <t>Chhattisgarh</t>
        </is>
      </c>
      <c r="N209" t="inlineStr">
        <is>
          <t>Raipur</t>
        </is>
      </c>
      <c r="O209" s="5" t="n">
        <v>46029</v>
      </c>
      <c r="P209" t="inlineStr">
        <is>
          <t>AOC</t>
        </is>
      </c>
      <c r="Q209" t="inlineStr">
        <is>
          <t>Sangita Sales Private Limited</t>
        </is>
      </c>
      <c r="R209" t="inlineStr">
        <is>
          <t>Sangita Sales</t>
        </is>
      </c>
      <c r="S209" t="inlineStr">
        <is>
          <t>3 named / 3</t>
        </is>
      </c>
      <c r="T209" t="n">
        <v>1.16</v>
      </c>
      <c r="U209" s="6">
        <f>IF(ISNUMBER(G209),MAX(MAX(G209,Settings!$B$13)*Settings!$B$7*Settings!$B$5,IF(ISNUMBER(Settings!$B$12),Settings!$B$12,0))*(1+IF(Settings!$B$11="Y",0,Settings!$B$10/100))+N(Settings!$B$9),"")</f>
        <v/>
      </c>
      <c r="W209" s="6">
        <f>IF(ISNUMBER(V209),IF(V209*Settings!$B$8&gt;1000,"beyond table",IFERROR(LOOKUP(V209*Settings!$B$8,'FOIS 145A'!$A$2:$A$22,'FOIS 145A'!$C$2:$C$22)*(1+IF(Settings!$B$11="Y",0,Settings!$B$10/100)),"")),"")</f>
        <v/>
      </c>
      <c r="X209" s="6">
        <f>IF(AND(ISNUMBER(U209),ISNUMBER(W209)),U209+W209,"")</f>
        <v/>
      </c>
      <c r="Y209">
        <f>Settings!$B$6</f>
        <v/>
      </c>
    </row>
    <row r="210">
      <c r="A210" t="inlineStr">
        <is>
          <t>No</t>
        </is>
      </c>
      <c r="B210" t="inlineStr">
        <is>
          <t>named mine/plant is far</t>
        </is>
      </c>
      <c r="C210" t="inlineStr"/>
      <c r="E210" t="inlineStr"/>
      <c r="H210" t="inlineStr">
        <is>
          <t>16901294</t>
        </is>
      </c>
      <c r="I210" t="inlineStr">
        <is>
          <t>GEM/2025/B/6996994</t>
        </is>
      </c>
      <c r="J210" t="inlineStr">
        <is>
          <t>loading and transportation of coal from the surface coal stock yard of amrapali ocp to chp-cpp-piparwar via w/b no. 18 check post no. 3, along new ntpc bridge and basariamore – kalyanpur - karo- w/b n</t>
        </is>
      </c>
      <c r="K210" t="inlineStr">
        <is>
          <t>Coal transport (road)</t>
        </is>
      </c>
      <c r="L210" t="inlineStr">
        <is>
          <t>Central Coalfields Limited</t>
        </is>
      </c>
      <c r="M210" t="inlineStr">
        <is>
          <t>Jharkhand</t>
        </is>
      </c>
      <c r="N210" t="inlineStr">
        <is>
          <t>Ranchi</t>
        </is>
      </c>
      <c r="O210" s="5" t="n">
        <v>46018</v>
      </c>
      <c r="P210" t="inlineStr">
        <is>
          <t>AOC</t>
        </is>
      </c>
      <c r="Q210" t="inlineStr">
        <is>
          <t>Jtpl Sipl Jv</t>
        </is>
      </c>
      <c r="R210" t="inlineStr">
        <is>
          <t>Nkas Services</t>
        </is>
      </c>
      <c r="S210" t="inlineStr">
        <is>
          <t>5 named / 13</t>
        </is>
      </c>
      <c r="T210" t="n">
        <v>250.1</v>
      </c>
      <c r="U210" s="6">
        <f>IF(ISNUMBER(G210),MAX(MAX(G210,Settings!$B$13)*Settings!$B$7*Settings!$B$5,IF(ISNUMBER(Settings!$B$12),Settings!$B$12,0))*(1+IF(Settings!$B$11="Y",0,Settings!$B$10/100))+N(Settings!$B$9),"")</f>
        <v/>
      </c>
      <c r="W210" s="6">
        <f>IF(ISNUMBER(V210),IF(V210*Settings!$B$8&gt;1000,"beyond table",IFERROR(LOOKUP(V210*Settings!$B$8,'FOIS 145A'!$A$2:$A$22,'FOIS 145A'!$C$2:$C$22)*(1+IF(Settings!$B$11="Y",0,Settings!$B$10/100)),"")),"")</f>
        <v/>
      </c>
      <c r="X210" s="6">
        <f>IF(AND(ISNUMBER(U210),ISNUMBER(W210)),U210+W210,"")</f>
        <v/>
      </c>
      <c r="Y210">
        <f>Settings!$B$6</f>
        <v/>
      </c>
    </row>
    <row r="211">
      <c r="A211" t="inlineStr">
        <is>
          <t>No</t>
        </is>
      </c>
      <c r="B211" t="inlineStr">
        <is>
          <t>plant = tender city in Haryana; named mine/plant is far</t>
        </is>
      </c>
      <c r="C211" t="inlineStr"/>
      <c r="E211" t="inlineStr"/>
      <c r="H211" t="inlineStr">
        <is>
          <t>16196804</t>
        </is>
      </c>
      <c r="I211" t="inlineStr">
        <is>
          <t>GEM/2025/B/7012225</t>
        </is>
      </c>
      <c r="J211" t="inlineStr">
        <is>
          <t>handling and transport on lumpsum basis - handling service, transport service, handling &amp; transport service, coal handling agent</t>
        </is>
      </c>
      <c r="K211" t="inlineStr">
        <is>
          <t>Coal transport (road)</t>
        </is>
      </c>
      <c r="L211" t="inlineStr">
        <is>
          <t>National Fertilizers Limited</t>
        </is>
      </c>
      <c r="M211" t="inlineStr">
        <is>
          <t>Haryana</t>
        </is>
      </c>
      <c r="N211" t="inlineStr">
        <is>
          <t>Panipat</t>
        </is>
      </c>
      <c r="O211" s="5" t="n">
        <v>46018</v>
      </c>
      <c r="P211" t="inlineStr">
        <is>
          <t>AOC</t>
        </is>
      </c>
      <c r="Q211" t="inlineStr">
        <is>
          <t>Om Sharda Logistics Private Limited</t>
        </is>
      </c>
      <c r="R211" t="inlineStr"/>
      <c r="S211" t="inlineStr">
        <is>
          <t>5 named / 8</t>
        </is>
      </c>
      <c r="T211" t="n">
        <v>0.99</v>
      </c>
      <c r="U211" s="6">
        <f>IF(ISNUMBER(G211),MAX(MAX(G211,Settings!$B$13)*Settings!$B$7*Settings!$B$5,IF(ISNUMBER(Settings!$B$12),Settings!$B$12,0))*(1+IF(Settings!$B$11="Y",0,Settings!$B$10/100))+N(Settings!$B$9),"")</f>
        <v/>
      </c>
      <c r="W211" s="6">
        <f>IF(ISNUMBER(V211),IF(V211*Settings!$B$8&gt;1000,"beyond table",IFERROR(LOOKUP(V211*Settings!$B$8,'FOIS 145A'!$A$2:$A$22,'FOIS 145A'!$C$2:$C$22)*(1+IF(Settings!$B$11="Y",0,Settings!$B$10/100)),"")),"")</f>
        <v/>
      </c>
      <c r="X211" s="6">
        <f>IF(AND(ISNUMBER(U211),ISNUMBER(W211)),U211+W211,"")</f>
        <v/>
      </c>
      <c r="Y211">
        <f>Settings!$B$6</f>
        <v/>
      </c>
    </row>
    <row r="212">
      <c r="A212" t="inlineStr">
        <is>
          <t>No</t>
        </is>
      </c>
      <c r="B212" t="inlineStr">
        <is>
          <t>mine = coal company's tender in Madhya Pradesh; named mine/plant is far</t>
        </is>
      </c>
      <c r="C212" t="inlineStr"/>
      <c r="E212" t="inlineStr"/>
      <c r="H212" t="inlineStr">
        <is>
          <t>16775488</t>
        </is>
      </c>
      <c r="I212" t="inlineStr">
        <is>
          <t>GEM/2025/B/6978258</t>
        </is>
      </c>
      <c r="J212" t="inlineStr">
        <is>
          <t>hiring of payloader and tippers for transportation of coal at bartarai colliery jamuna kotma area</t>
        </is>
      </c>
      <c r="K212" t="inlineStr">
        <is>
          <t>Coal transport (road)</t>
        </is>
      </c>
      <c r="L212" t="inlineStr">
        <is>
          <t>South Eastern Coalfields Limited</t>
        </is>
      </c>
      <c r="M212" t="inlineStr">
        <is>
          <t>Madhya Pradesh</t>
        </is>
      </c>
      <c r="N212" t="inlineStr">
        <is>
          <t>Anuppur</t>
        </is>
      </c>
      <c r="O212" s="5" t="n">
        <v>46017</v>
      </c>
      <c r="P212" t="inlineStr">
        <is>
          <t>AOC</t>
        </is>
      </c>
      <c r="Q212" t="inlineStr">
        <is>
          <t>Narendra Singh Bindra</t>
        </is>
      </c>
      <c r="R212" t="inlineStr">
        <is>
          <t>G K Associates, Chandan Kumar Singh</t>
        </is>
      </c>
      <c r="S212" t="inlineStr">
        <is>
          <t>5 named / 12</t>
        </is>
      </c>
      <c r="T212" t="n">
        <v>23.2</v>
      </c>
      <c r="U212" s="6">
        <f>IF(ISNUMBER(G212),MAX(MAX(G212,Settings!$B$13)*Settings!$B$7*Settings!$B$5,IF(ISNUMBER(Settings!$B$12),Settings!$B$12,0))*(1+IF(Settings!$B$11="Y",0,Settings!$B$10/100))+N(Settings!$B$9),"")</f>
        <v/>
      </c>
      <c r="W212" s="6">
        <f>IF(ISNUMBER(V212),IF(V212*Settings!$B$8&gt;1000,"beyond table",IFERROR(LOOKUP(V212*Settings!$B$8,'FOIS 145A'!$A$2:$A$22,'FOIS 145A'!$C$2:$C$22)*(1+IF(Settings!$B$11="Y",0,Settings!$B$10/100)),"")),"")</f>
        <v/>
      </c>
      <c r="X212" s="6">
        <f>IF(AND(ISNUMBER(U212),ISNUMBER(W212)),U212+W212,"")</f>
        <v/>
      </c>
      <c r="Y212">
        <f>Settings!$B$6</f>
        <v/>
      </c>
    </row>
    <row r="213">
      <c r="A213" t="inlineStr">
        <is>
          <t>No</t>
        </is>
      </c>
      <c r="B213" t="inlineStr">
        <is>
          <t>mine = coal company's tender in Jharkhand; named mine/plant is far</t>
        </is>
      </c>
      <c r="C213" t="inlineStr"/>
      <c r="E213" t="inlineStr"/>
      <c r="H213" t="inlineStr">
        <is>
          <t>16618738</t>
        </is>
      </c>
      <c r="I213" t="inlineStr">
        <is>
          <t>GEM/2025/B/6959729</t>
        </is>
      </c>
      <c r="J213" t="inlineStr">
        <is>
          <t>handling &amp; transport service, loading of coal by pl into tipping trucks at crusher site, transportation of crushed coal from feeder breaker to pf 1 &amp; pf 2, spreading the same..</t>
        </is>
      </c>
      <c r="K213" t="inlineStr">
        <is>
          <t>Coal transport (road)</t>
        </is>
      </c>
      <c r="L213" t="inlineStr">
        <is>
          <t>Central Coalfields Limited</t>
        </is>
      </c>
      <c r="M213" t="inlineStr">
        <is>
          <t>Jharkhand</t>
        </is>
      </c>
      <c r="N213" t="inlineStr">
        <is>
          <t>Bokaro</t>
        </is>
      </c>
      <c r="O213" s="5" t="n">
        <v>46009</v>
      </c>
      <c r="P213" t="inlineStr">
        <is>
          <t>AOC</t>
        </is>
      </c>
      <c r="Q213" t="inlineStr">
        <is>
          <t>Jai Ma Tara Projects</t>
        </is>
      </c>
      <c r="R213" t="inlineStr"/>
      <c r="S213" t="inlineStr">
        <is>
          <t>5 named / 11</t>
        </is>
      </c>
      <c r="T213" t="n">
        <v>15.93</v>
      </c>
      <c r="U213" s="6">
        <f>IF(ISNUMBER(G213),MAX(MAX(G213,Settings!$B$13)*Settings!$B$7*Settings!$B$5,IF(ISNUMBER(Settings!$B$12),Settings!$B$12,0))*(1+IF(Settings!$B$11="Y",0,Settings!$B$10/100))+N(Settings!$B$9),"")</f>
        <v/>
      </c>
      <c r="W213" s="6">
        <f>IF(ISNUMBER(V213),IF(V213*Settings!$B$8&gt;1000,"beyond table",IFERROR(LOOKUP(V213*Settings!$B$8,'FOIS 145A'!$A$2:$A$22,'FOIS 145A'!$C$2:$C$22)*(1+IF(Settings!$B$11="Y",0,Settings!$B$10/100)),"")),"")</f>
        <v/>
      </c>
      <c r="X213" s="6">
        <f>IF(AND(ISNUMBER(U213),ISNUMBER(W213)),U213+W213,"")</f>
        <v/>
      </c>
      <c r="Y213">
        <f>Settings!$B$6</f>
        <v/>
      </c>
    </row>
    <row r="214">
      <c r="A214" t="inlineStr">
        <is>
          <t>No</t>
        </is>
      </c>
      <c r="B214" t="inlineStr">
        <is>
          <t>named mine/plant is far</t>
        </is>
      </c>
      <c r="C214" t="inlineStr"/>
      <c r="E214" t="inlineStr"/>
      <c r="H214" t="inlineStr">
        <is>
          <t>15894703</t>
        </is>
      </c>
      <c r="I214" t="inlineStr">
        <is>
          <t>2025_NTPC_102408_1</t>
        </is>
      </c>
      <c r="J214" t="inlineStr">
        <is>
          <t>as per sow- transportation of coal by road from magadh mine to ntpc-north karanpura</t>
        </is>
      </c>
      <c r="K214" t="inlineStr">
        <is>
          <t>Coal transport (road)</t>
        </is>
      </c>
      <c r="L214" t="inlineStr">
        <is>
          <t>National Thermal Power Corporation Limited</t>
        </is>
      </c>
      <c r="M214" t="inlineStr">
        <is>
          <t>Chhattisgarh</t>
        </is>
      </c>
      <c r="N214" t="inlineStr">
        <is>
          <t>Raipur</t>
        </is>
      </c>
      <c r="O214" s="5" t="n">
        <v>46008</v>
      </c>
      <c r="P214" t="inlineStr">
        <is>
          <t>Financial</t>
        </is>
      </c>
      <c r="Q214" t="inlineStr">
        <is>
          <t>-</t>
        </is>
      </c>
      <c r="R214" t="inlineStr">
        <is>
          <t>Nkas Services, Orissa Stevedores</t>
        </is>
      </c>
      <c r="S214" t="inlineStr">
        <is>
          <t>5 named / 7</t>
        </is>
      </c>
      <c r="U214" s="6">
        <f>IF(ISNUMBER(G214),MAX(MAX(G214,Settings!$B$13)*Settings!$B$7*Settings!$B$5,IF(ISNUMBER(Settings!$B$12),Settings!$B$12,0))*(1+IF(Settings!$B$11="Y",0,Settings!$B$10/100))+N(Settings!$B$9),"")</f>
        <v/>
      </c>
      <c r="W214" s="6">
        <f>IF(ISNUMBER(V214),IF(V214*Settings!$B$8&gt;1000,"beyond table",IFERROR(LOOKUP(V214*Settings!$B$8,'FOIS 145A'!$A$2:$A$22,'FOIS 145A'!$C$2:$C$22)*(1+IF(Settings!$B$11="Y",0,Settings!$B$10/100)),"")),"")</f>
        <v/>
      </c>
      <c r="X214" s="6">
        <f>IF(AND(ISNUMBER(U214),ISNUMBER(W214)),U214+W214,"")</f>
        <v/>
      </c>
      <c r="Y214">
        <f>Settings!$B$6</f>
        <v/>
      </c>
    </row>
    <row r="215">
      <c r="A215" t="inlineStr">
        <is>
          <t>No</t>
        </is>
      </c>
      <c r="B215" t="inlineStr">
        <is>
          <t>named mine/plant is far</t>
        </is>
      </c>
      <c r="C215" t="inlineStr"/>
      <c r="E215" t="inlineStr"/>
      <c r="H215" t="inlineStr">
        <is>
          <t>16303115</t>
        </is>
      </c>
      <c r="I215" t="inlineStr">
        <is>
          <t>2025_NTPC_102088_1</t>
        </is>
      </c>
      <c r="J215" t="inlineStr">
        <is>
          <t>transportation of coal from amrapali and other mines to ntpc-nkstpp</t>
        </is>
      </c>
      <c r="K215" t="inlineStr">
        <is>
          <t>Coal transport (road)</t>
        </is>
      </c>
      <c r="L215" t="inlineStr">
        <is>
          <t>National Thermal Power Corporation Limited</t>
        </is>
      </c>
      <c r="M215" t="inlineStr">
        <is>
          <t>Chhattisgarh</t>
        </is>
      </c>
      <c r="N215" t="inlineStr">
        <is>
          <t>Raipur</t>
        </is>
      </c>
      <c r="O215" s="5" t="n">
        <v>46000</v>
      </c>
      <c r="P215" t="inlineStr">
        <is>
          <t>Financial</t>
        </is>
      </c>
      <c r="Q215" t="inlineStr">
        <is>
          <t>-</t>
        </is>
      </c>
      <c r="R215" t="inlineStr">
        <is>
          <t>United Coal Carriers, Nkas Services, Orissa Stevedores</t>
        </is>
      </c>
      <c r="S215" t="inlineStr">
        <is>
          <t>5 named / 6</t>
        </is>
      </c>
      <c r="U215" s="6">
        <f>IF(ISNUMBER(G215),MAX(MAX(G215,Settings!$B$13)*Settings!$B$7*Settings!$B$5,IF(ISNUMBER(Settings!$B$12),Settings!$B$12,0))*(1+IF(Settings!$B$11="Y",0,Settings!$B$10/100))+N(Settings!$B$9),"")</f>
        <v/>
      </c>
      <c r="W215" s="6">
        <f>IF(ISNUMBER(V215),IF(V215*Settings!$B$8&gt;1000,"beyond table",IFERROR(LOOKUP(V215*Settings!$B$8,'FOIS 145A'!$A$2:$A$22,'FOIS 145A'!$C$2:$C$22)*(1+IF(Settings!$B$11="Y",0,Settings!$B$10/100)),"")),"")</f>
        <v/>
      </c>
      <c r="X215" s="6">
        <f>IF(AND(ISNUMBER(U215),ISNUMBER(W215)),U215+W215,"")</f>
        <v/>
      </c>
      <c r="Y215">
        <f>Settings!$B$6</f>
        <v/>
      </c>
    </row>
    <row r="216">
      <c r="A216" t="inlineStr">
        <is>
          <t>No</t>
        </is>
      </c>
      <c r="B216" t="inlineStr">
        <is>
          <t>named mine/plant is far</t>
        </is>
      </c>
      <c r="C216" t="inlineStr"/>
      <c r="E216" t="inlineStr"/>
      <c r="H216" t="inlineStr">
        <is>
          <t>15998326</t>
        </is>
      </c>
      <c r="I216" t="inlineStr">
        <is>
          <t>GEM/2025/B/6901003</t>
        </is>
      </c>
      <c r="J216" t="inlineStr">
        <is>
          <t>handling &amp; transport service, crushing and transportation of coal at penganga ocm, wani area</t>
        </is>
      </c>
      <c r="K216" t="inlineStr">
        <is>
          <t>Coal transport (road)</t>
        </is>
      </c>
      <c r="L216" t="inlineStr">
        <is>
          <t>Western Coalfields Limited</t>
        </is>
      </c>
      <c r="M216" t="inlineStr">
        <is>
          <t>Maharashtra</t>
        </is>
      </c>
      <c r="N216" t="inlineStr">
        <is>
          <t>Chandrapur</t>
        </is>
      </c>
      <c r="O216" s="5" t="n">
        <v>45994</v>
      </c>
      <c r="P216" t="inlineStr">
        <is>
          <t>AOC</t>
        </is>
      </c>
      <c r="Q216" t="inlineStr">
        <is>
          <t>Orbit Corporation</t>
        </is>
      </c>
      <c r="R216" t="inlineStr">
        <is>
          <t>G K Associates, Saikrupa Coal Supplier</t>
        </is>
      </c>
      <c r="S216" t="inlineStr">
        <is>
          <t>5 named / 6</t>
        </is>
      </c>
      <c r="T216" t="n">
        <v>30.74</v>
      </c>
      <c r="U216" s="6">
        <f>IF(ISNUMBER(G216),MAX(MAX(G216,Settings!$B$13)*Settings!$B$7*Settings!$B$5,IF(ISNUMBER(Settings!$B$12),Settings!$B$12,0))*(1+IF(Settings!$B$11="Y",0,Settings!$B$10/100))+N(Settings!$B$9),"")</f>
        <v/>
      </c>
      <c r="W216" s="6">
        <f>IF(ISNUMBER(V216),IF(V216*Settings!$B$8&gt;1000,"beyond table",IFERROR(LOOKUP(V216*Settings!$B$8,'FOIS 145A'!$A$2:$A$22,'FOIS 145A'!$C$2:$C$22)*(1+IF(Settings!$B$11="Y",0,Settings!$B$10/100)),"")),"")</f>
        <v/>
      </c>
      <c r="X216" s="6">
        <f>IF(AND(ISNUMBER(U216),ISNUMBER(W216)),U216+W216,"")</f>
        <v/>
      </c>
      <c r="Y216">
        <f>Settings!$B$6</f>
        <v/>
      </c>
    </row>
    <row r="217">
      <c r="A217" t="inlineStr">
        <is>
          <t>No</t>
        </is>
      </c>
      <c r="B217" t="inlineStr">
        <is>
          <t>mine = coal company's tender in Madhya Pradesh; named mine/plant is far</t>
        </is>
      </c>
      <c r="C217" t="inlineStr"/>
      <c r="E217" t="inlineStr"/>
      <c r="H217" t="inlineStr">
        <is>
          <t>16221712</t>
        </is>
      </c>
      <c r="I217" t="inlineStr">
        <is>
          <t>GEM/2025/B/6884579</t>
        </is>
      </c>
      <c r="J217" t="inlineStr">
        <is>
          <t>transport service, handling &amp; transport service, handling service, loading and transportation of coal at rajendra ug mine, sohagpur area, secl</t>
        </is>
      </c>
      <c r="K217" t="inlineStr">
        <is>
          <t>Coal transport (road)</t>
        </is>
      </c>
      <c r="L217" t="inlineStr">
        <is>
          <t>South Eastern Coalfields Limited</t>
        </is>
      </c>
      <c r="M217" t="inlineStr">
        <is>
          <t>Madhya Pradesh</t>
        </is>
      </c>
      <c r="N217" t="inlineStr">
        <is>
          <t>Anuppur</t>
        </is>
      </c>
      <c r="O217" s="5" t="n">
        <v>45989</v>
      </c>
      <c r="P217" t="inlineStr">
        <is>
          <t>AOC</t>
        </is>
      </c>
      <c r="Q217" t="inlineStr">
        <is>
          <t>Khan Transport</t>
        </is>
      </c>
      <c r="R217" t="inlineStr">
        <is>
          <t>G K Associates, Chandan Kumar Singh</t>
        </is>
      </c>
      <c r="S217" t="inlineStr">
        <is>
          <t>5 named / 9</t>
        </is>
      </c>
      <c r="T217" t="n">
        <v>18.3</v>
      </c>
      <c r="U217" s="6">
        <f>IF(ISNUMBER(G217),MAX(MAX(G217,Settings!$B$13)*Settings!$B$7*Settings!$B$5,IF(ISNUMBER(Settings!$B$12),Settings!$B$12,0))*(1+IF(Settings!$B$11="Y",0,Settings!$B$10/100))+N(Settings!$B$9),"")</f>
        <v/>
      </c>
      <c r="W217" s="6">
        <f>IF(ISNUMBER(V217),IF(V217*Settings!$B$8&gt;1000,"beyond table",IFERROR(LOOKUP(V217*Settings!$B$8,'FOIS 145A'!$A$2:$A$22,'FOIS 145A'!$C$2:$C$22)*(1+IF(Settings!$B$11="Y",0,Settings!$B$10/100)),"")),"")</f>
        <v/>
      </c>
      <c r="X217" s="6">
        <f>IF(AND(ISNUMBER(U217),ISNUMBER(W217)),U217+W217,"")</f>
        <v/>
      </c>
      <c r="Y217">
        <f>Settings!$B$6</f>
        <v/>
      </c>
    </row>
    <row r="218">
      <c r="A218" t="inlineStr">
        <is>
          <t>No</t>
        </is>
      </c>
      <c r="B218" t="inlineStr">
        <is>
          <t>mine = coal company's tender in Jharkhand; named mine/plant is far</t>
        </is>
      </c>
      <c r="C218" t="inlineStr"/>
      <c r="E218" t="inlineStr"/>
      <c r="H218" t="inlineStr">
        <is>
          <t>16008975</t>
        </is>
      </c>
      <c r="I218" t="inlineStr">
        <is>
          <t>GEM/2025/B/6884741</t>
        </is>
      </c>
      <c r="J218" t="inlineStr">
        <is>
          <t>handling &amp; transport service, loading and transportation of coal from different coal heaps to the dump hopper at ashok ocp, piparwar area</t>
        </is>
      </c>
      <c r="K218" t="inlineStr">
        <is>
          <t>Coal transport (road)</t>
        </is>
      </c>
      <c r="L218" t="inlineStr">
        <is>
          <t>Central Coalfields Limited</t>
        </is>
      </c>
      <c r="M218" t="inlineStr">
        <is>
          <t>Jharkhand</t>
        </is>
      </c>
      <c r="N218" t="inlineStr">
        <is>
          <t>Chatra</t>
        </is>
      </c>
      <c r="O218" s="5" t="n">
        <v>45988</v>
      </c>
      <c r="P218" t="inlineStr">
        <is>
          <t>Financial</t>
        </is>
      </c>
      <c r="Q218" t="inlineStr">
        <is>
          <t>-</t>
        </is>
      </c>
      <c r="R218" t="inlineStr"/>
      <c r="S218" t="inlineStr">
        <is>
          <t>5 named / 8</t>
        </is>
      </c>
      <c r="U218" s="6">
        <f>IF(ISNUMBER(G218),MAX(MAX(G218,Settings!$B$13)*Settings!$B$7*Settings!$B$5,IF(ISNUMBER(Settings!$B$12),Settings!$B$12,0))*(1+IF(Settings!$B$11="Y",0,Settings!$B$10/100))+N(Settings!$B$9),"")</f>
        <v/>
      </c>
      <c r="W218" s="6">
        <f>IF(ISNUMBER(V218),IF(V218*Settings!$B$8&gt;1000,"beyond table",IFERROR(LOOKUP(V218*Settings!$B$8,'FOIS 145A'!$A$2:$A$22,'FOIS 145A'!$C$2:$C$22)*(1+IF(Settings!$B$11="Y",0,Settings!$B$10/100)),"")),"")</f>
        <v/>
      </c>
      <c r="X218" s="6">
        <f>IF(AND(ISNUMBER(U218),ISNUMBER(W218)),U218+W218,"")</f>
        <v/>
      </c>
      <c r="Y218">
        <f>Settings!$B$6</f>
        <v/>
      </c>
    </row>
    <row r="219">
      <c r="A219" t="inlineStr">
        <is>
          <t>No</t>
        </is>
      </c>
      <c r="B219" t="inlineStr">
        <is>
          <t>mine = coal company's tender in Madhya Pradesh; named mine/plant is far</t>
        </is>
      </c>
      <c r="C219" t="inlineStr"/>
      <c r="E219" t="inlineStr"/>
      <c r="H219" t="inlineStr">
        <is>
          <t>16064213</t>
        </is>
      </c>
      <c r="I219" t="inlineStr">
        <is>
          <t>GEM/2025/B/6773027</t>
        </is>
      </c>
      <c r="J219" t="inlineStr">
        <is>
          <t>handling &amp; transport service, loading and transportation of g8 grade of coal at dudhichua project.</t>
        </is>
      </c>
      <c r="K219" t="inlineStr">
        <is>
          <t>Coal transport (road)</t>
        </is>
      </c>
      <c r="L219" t="inlineStr">
        <is>
          <t>Northern Coalfields Limited</t>
        </is>
      </c>
      <c r="M219" t="inlineStr">
        <is>
          <t>Madhya Pradesh</t>
        </is>
      </c>
      <c r="N219" t="inlineStr">
        <is>
          <t>Sidhi</t>
        </is>
      </c>
      <c r="O219" s="5" t="n">
        <v>45957</v>
      </c>
      <c r="P219" t="inlineStr">
        <is>
          <t>AOC</t>
        </is>
      </c>
      <c r="Q219" t="inlineStr">
        <is>
          <t>Arsh Global, Chandra And Company, Refex Industries Limited, Samar Logistics</t>
        </is>
      </c>
      <c r="R219" t="inlineStr">
        <is>
          <t>G K Associates</t>
        </is>
      </c>
      <c r="S219" t="inlineStr">
        <is>
          <t>5 named / 22</t>
        </is>
      </c>
      <c r="T219" t="n">
        <v>65.62</v>
      </c>
      <c r="U219" s="6">
        <f>IF(ISNUMBER(G219),MAX(MAX(G219,Settings!$B$13)*Settings!$B$7*Settings!$B$5,IF(ISNUMBER(Settings!$B$12),Settings!$B$12,0))*(1+IF(Settings!$B$11="Y",0,Settings!$B$10/100))+N(Settings!$B$9),"")</f>
        <v/>
      </c>
      <c r="W219" s="6">
        <f>IF(ISNUMBER(V219),IF(V219*Settings!$B$8&gt;1000,"beyond table",IFERROR(LOOKUP(V219*Settings!$B$8,'FOIS 145A'!$A$2:$A$22,'FOIS 145A'!$C$2:$C$22)*(1+IF(Settings!$B$11="Y",0,Settings!$B$10/100)),"")),"")</f>
        <v/>
      </c>
      <c r="X219" s="6">
        <f>IF(AND(ISNUMBER(U219),ISNUMBER(W219)),U219+W219,"")</f>
        <v/>
      </c>
      <c r="Y219">
        <f>Settings!$B$6</f>
        <v/>
      </c>
    </row>
    <row r="220">
      <c r="A220" t="inlineStr">
        <is>
          <t>No</t>
        </is>
      </c>
      <c r="B220" t="inlineStr">
        <is>
          <t>named mine/plant is far</t>
        </is>
      </c>
      <c r="C220" t="inlineStr"/>
      <c r="E220" t="inlineStr"/>
      <c r="H220" t="inlineStr">
        <is>
          <t>15397670</t>
        </is>
      </c>
      <c r="I220" t="inlineStr">
        <is>
          <t>2025_NTPC_100971_1</t>
        </is>
      </c>
      <c r="J220" t="inlineStr">
        <is>
          <t>coal transportation from ntpc pakri mines to nkstpp</t>
        </is>
      </c>
      <c r="K220" t="inlineStr">
        <is>
          <t>Coal transport (road)</t>
        </is>
      </c>
      <c r="L220" t="inlineStr">
        <is>
          <t>National Thermal Power Corporation Limited</t>
        </is>
      </c>
      <c r="M220" t="inlineStr">
        <is>
          <t>Chhattisgarh</t>
        </is>
      </c>
      <c r="N220" t="inlineStr">
        <is>
          <t>Raipur</t>
        </is>
      </c>
      <c r="O220" s="5" t="n">
        <v>45946</v>
      </c>
      <c r="P220" t="inlineStr">
        <is>
          <t>AOC</t>
        </is>
      </c>
      <c r="Q220" t="inlineStr">
        <is>
          <t>Ravindra Enterprises</t>
        </is>
      </c>
      <c r="R220" t="inlineStr"/>
      <c r="S220" t="inlineStr">
        <is>
          <t>5 named / 11</t>
        </is>
      </c>
      <c r="T220" t="n">
        <v>20.88</v>
      </c>
      <c r="U220" s="6">
        <f>IF(ISNUMBER(G220),MAX(MAX(G220,Settings!$B$13)*Settings!$B$7*Settings!$B$5,IF(ISNUMBER(Settings!$B$12),Settings!$B$12,0))*(1+IF(Settings!$B$11="Y",0,Settings!$B$10/100))+N(Settings!$B$9),"")</f>
        <v/>
      </c>
      <c r="W220" s="6">
        <f>IF(ISNUMBER(V220),IF(V220*Settings!$B$8&gt;1000,"beyond table",IFERROR(LOOKUP(V220*Settings!$B$8,'FOIS 145A'!$A$2:$A$22,'FOIS 145A'!$C$2:$C$22)*(1+IF(Settings!$B$11="Y",0,Settings!$B$10/100)),"")),"")</f>
        <v/>
      </c>
      <c r="X220" s="6">
        <f>IF(AND(ISNUMBER(U220),ISNUMBER(W220)),U220+W220,"")</f>
        <v/>
      </c>
      <c r="Y220">
        <f>Settings!$B$6</f>
        <v/>
      </c>
    </row>
    <row r="221">
      <c r="A221" t="inlineStr">
        <is>
          <t>No</t>
        </is>
      </c>
      <c r="B221" t="inlineStr">
        <is>
          <t>plant = tender city in Madhya Pradesh; named mine/plant is far</t>
        </is>
      </c>
      <c r="C221" t="inlineStr"/>
      <c r="E221" t="inlineStr"/>
      <c r="H221" t="inlineStr">
        <is>
          <t>16342758</t>
        </is>
      </c>
      <c r="I221" t="inlineStr">
        <is>
          <t>2025_MPPGC_440799_1</t>
        </is>
      </c>
      <c r="J221" t="inlineStr">
        <is>
          <t>transportation with loading of coal from sharda ug mine (kanhan area, m/s wcl) to stps, sarni using completely covered and sealed tipper/trucks, and unloading at the coal yard at mppgcl, sarni.</t>
        </is>
      </c>
      <c r="K221" t="inlineStr">
        <is>
          <t>Coal transport (road)</t>
        </is>
      </c>
      <c r="L221" t="inlineStr">
        <is>
          <t>Madhya Pradesh Power Generating Company Limited</t>
        </is>
      </c>
      <c r="M221" t="inlineStr">
        <is>
          <t>Madhya Pradesh</t>
        </is>
      </c>
      <c r="N221" t="inlineStr">
        <is>
          <t>Betul</t>
        </is>
      </c>
      <c r="O221" s="5" t="n">
        <v>45943</v>
      </c>
      <c r="P221" t="inlineStr">
        <is>
          <t>Financial</t>
        </is>
      </c>
      <c r="Q221" t="inlineStr">
        <is>
          <t>-</t>
        </is>
      </c>
      <c r="R221" t="inlineStr"/>
      <c r="S221" t="inlineStr">
        <is>
          <t>5 named / 6</t>
        </is>
      </c>
      <c r="U221" s="6">
        <f>IF(ISNUMBER(G221),MAX(MAX(G221,Settings!$B$13)*Settings!$B$7*Settings!$B$5,IF(ISNUMBER(Settings!$B$12),Settings!$B$12,0))*(1+IF(Settings!$B$11="Y",0,Settings!$B$10/100))+N(Settings!$B$9),"")</f>
        <v/>
      </c>
      <c r="W221" s="6">
        <f>IF(ISNUMBER(V221),IF(V221*Settings!$B$8&gt;1000,"beyond table",IFERROR(LOOKUP(V221*Settings!$B$8,'FOIS 145A'!$A$2:$A$22,'FOIS 145A'!$C$2:$C$22)*(1+IF(Settings!$B$11="Y",0,Settings!$B$10/100)),"")),"")</f>
        <v/>
      </c>
      <c r="X221" s="6">
        <f>IF(AND(ISNUMBER(U221),ISNUMBER(W221)),U221+W221,"")</f>
        <v/>
      </c>
      <c r="Y221">
        <f>Settings!$B$6</f>
        <v/>
      </c>
    </row>
    <row r="222">
      <c r="A222" t="inlineStr">
        <is>
          <t>No</t>
        </is>
      </c>
      <c r="B222" t="inlineStr">
        <is>
          <t>named mine/plant is far</t>
        </is>
      </c>
      <c r="C222" t="inlineStr"/>
      <c r="E222" t="inlineStr"/>
      <c r="H222" t="inlineStr">
        <is>
          <t>15610707</t>
        </is>
      </c>
      <c r="I222" t="inlineStr">
        <is>
          <t>2025_NTPC_100106_1</t>
        </is>
      </c>
      <c r="J222" t="inlineStr">
        <is>
          <t>transportation of coal from magadh mines of ccl to ntpc north karanpura</t>
        </is>
      </c>
      <c r="K222" t="inlineStr">
        <is>
          <t>Coal transport (road)</t>
        </is>
      </c>
      <c r="L222" t="inlineStr">
        <is>
          <t>National Thermal Power Corporation Limited</t>
        </is>
      </c>
      <c r="M222" t="inlineStr">
        <is>
          <t>Chhattisgarh</t>
        </is>
      </c>
      <c r="N222" t="inlineStr">
        <is>
          <t>Raipur</t>
        </is>
      </c>
      <c r="O222" s="5" t="n">
        <v>45936</v>
      </c>
      <c r="P222" t="inlineStr">
        <is>
          <t>AOC</t>
        </is>
      </c>
      <c r="Q222" t="inlineStr">
        <is>
          <t>Variant Commercial Private Limited</t>
        </is>
      </c>
      <c r="R222" t="inlineStr">
        <is>
          <t>United Coal Carriers, Nkas Services, Orissa Stevedores</t>
        </is>
      </c>
      <c r="S222" t="inlineStr">
        <is>
          <t>5 named / 9</t>
        </is>
      </c>
      <c r="T222" t="n">
        <v>50.54</v>
      </c>
      <c r="U222" s="6">
        <f>IF(ISNUMBER(G222),MAX(MAX(G222,Settings!$B$13)*Settings!$B$7*Settings!$B$5,IF(ISNUMBER(Settings!$B$12),Settings!$B$12,0))*(1+IF(Settings!$B$11="Y",0,Settings!$B$10/100))+N(Settings!$B$9),"")</f>
        <v/>
      </c>
      <c r="W222" s="6">
        <f>IF(ISNUMBER(V222),IF(V222*Settings!$B$8&gt;1000,"beyond table",IFERROR(LOOKUP(V222*Settings!$B$8,'FOIS 145A'!$A$2:$A$22,'FOIS 145A'!$C$2:$C$22)*(1+IF(Settings!$B$11="Y",0,Settings!$B$10/100)),"")),"")</f>
        <v/>
      </c>
      <c r="X222" s="6">
        <f>IF(AND(ISNUMBER(U222),ISNUMBER(W222)),U222+W222,"")</f>
        <v/>
      </c>
      <c r="Y222">
        <f>Settings!$B$6</f>
        <v/>
      </c>
    </row>
    <row r="223">
      <c r="A223" t="inlineStr">
        <is>
          <t>No</t>
        </is>
      </c>
      <c r="B223" t="inlineStr">
        <is>
          <t>named mine/plant is far</t>
        </is>
      </c>
      <c r="C223" t="inlineStr"/>
      <c r="E223" t="inlineStr"/>
      <c r="H223" t="inlineStr">
        <is>
          <t>15019055</t>
        </is>
      </c>
      <c r="I223" t="inlineStr">
        <is>
          <t>2025_NTPC_100168_1</t>
        </is>
      </c>
      <c r="J223" t="inlineStr">
        <is>
          <t>transportation of coal from nk area and ashoka mines of ccl to ntpc</t>
        </is>
      </c>
      <c r="K223" t="inlineStr">
        <is>
          <t>Coal transport (road)</t>
        </is>
      </c>
      <c r="L223" t="inlineStr">
        <is>
          <t>National Thermal Power Corporation Limited</t>
        </is>
      </c>
      <c r="M223" t="inlineStr">
        <is>
          <t>Chhattisgarh</t>
        </is>
      </c>
      <c r="N223" t="inlineStr">
        <is>
          <t>Raipur</t>
        </is>
      </c>
      <c r="O223" s="5" t="n">
        <v>45919</v>
      </c>
      <c r="P223" t="inlineStr">
        <is>
          <t>AOC</t>
        </is>
      </c>
      <c r="Q223" t="inlineStr">
        <is>
          <t>Jagshobha Logistics Llp</t>
        </is>
      </c>
      <c r="R223" t="inlineStr">
        <is>
          <t>Nkas Services</t>
        </is>
      </c>
      <c r="S223" t="inlineStr">
        <is>
          <t>5 named / 6</t>
        </is>
      </c>
      <c r="T223" t="n">
        <v>13.91</v>
      </c>
      <c r="U223" s="6">
        <f>IF(ISNUMBER(G223),MAX(MAX(G223,Settings!$B$13)*Settings!$B$7*Settings!$B$5,IF(ISNUMBER(Settings!$B$12),Settings!$B$12,0))*(1+IF(Settings!$B$11="Y",0,Settings!$B$10/100))+N(Settings!$B$9),"")</f>
        <v/>
      </c>
      <c r="W223" s="6">
        <f>IF(ISNUMBER(V223),IF(V223*Settings!$B$8&gt;1000,"beyond table",IFERROR(LOOKUP(V223*Settings!$B$8,'FOIS 145A'!$A$2:$A$22,'FOIS 145A'!$C$2:$C$22)*(1+IF(Settings!$B$11="Y",0,Settings!$B$10/100)),"")),"")</f>
        <v/>
      </c>
      <c r="X223" s="6">
        <f>IF(AND(ISNUMBER(U223),ISNUMBER(W223)),U223+W223,"")</f>
        <v/>
      </c>
      <c r="Y223">
        <f>Settings!$B$6</f>
        <v/>
      </c>
    </row>
    <row r="224">
      <c r="A224" t="inlineStr">
        <is>
          <t>No</t>
        </is>
      </c>
      <c r="B224" t="inlineStr">
        <is>
          <t>plant = tender city in Madhya Pradesh; named mine/plant is far</t>
        </is>
      </c>
      <c r="C224" t="inlineStr"/>
      <c r="E224" t="inlineStr"/>
      <c r="H224" t="inlineStr">
        <is>
          <t>15150128</t>
        </is>
      </c>
      <c r="I224" t="inlineStr">
        <is>
          <t>2025_MPPGC_435687_1</t>
        </is>
      </c>
      <c r="J224" t="inlineStr">
        <is>
          <t>transportation with loading of coal into tippers directly through chute/hopper/ground from tawa-i mine of pathakhera area of m/s wcl to stps, sarni by contractor in completely covered and sealed tippe</t>
        </is>
      </c>
      <c r="K224" t="inlineStr">
        <is>
          <t>Coal transport (road)</t>
        </is>
      </c>
      <c r="L224" t="inlineStr">
        <is>
          <t>Madhya Pradesh Power Generating Company Limited</t>
        </is>
      </c>
      <c r="M224" t="inlineStr">
        <is>
          <t>Madhya Pradesh</t>
        </is>
      </c>
      <c r="N224" t="inlineStr">
        <is>
          <t>Betul</t>
        </is>
      </c>
      <c r="O224" s="5" t="n">
        <v>45908</v>
      </c>
      <c r="P224" t="inlineStr">
        <is>
          <t>Financial</t>
        </is>
      </c>
      <c r="Q224" t="inlineStr">
        <is>
          <t>-</t>
        </is>
      </c>
      <c r="R224" t="inlineStr"/>
      <c r="S224" t="inlineStr">
        <is>
          <t>5 named / 6</t>
        </is>
      </c>
      <c r="U224" s="6">
        <f>IF(ISNUMBER(G224),MAX(MAX(G224,Settings!$B$13)*Settings!$B$7*Settings!$B$5,IF(ISNUMBER(Settings!$B$12),Settings!$B$12,0))*(1+IF(Settings!$B$11="Y",0,Settings!$B$10/100))+N(Settings!$B$9),"")</f>
        <v/>
      </c>
      <c r="W224" s="6">
        <f>IF(ISNUMBER(V224),IF(V224*Settings!$B$8&gt;1000,"beyond table",IFERROR(LOOKUP(V224*Settings!$B$8,'FOIS 145A'!$A$2:$A$22,'FOIS 145A'!$C$2:$C$22)*(1+IF(Settings!$B$11="Y",0,Settings!$B$10/100)),"")),"")</f>
        <v/>
      </c>
      <c r="X224" s="6">
        <f>IF(AND(ISNUMBER(U224),ISNUMBER(W224)),U224+W224,"")</f>
        <v/>
      </c>
      <c r="Y224">
        <f>Settings!$B$6</f>
        <v/>
      </c>
    </row>
    <row r="225">
      <c r="A225" t="inlineStr">
        <is>
          <t>No</t>
        </is>
      </c>
      <c r="B225" t="inlineStr">
        <is>
          <t>plant = tender city in Madhya Pradesh; named mine/plant is far</t>
        </is>
      </c>
      <c r="C225" t="inlineStr"/>
      <c r="E225" t="inlineStr"/>
      <c r="H225" t="inlineStr">
        <is>
          <t>15094261</t>
        </is>
      </c>
      <c r="I225" t="inlineStr">
        <is>
          <t>2025_MPPGC_435686_1</t>
        </is>
      </c>
      <c r="J225" t="inlineStr">
        <is>
          <t>transportation with loading of coal into tippers directly through chute/hopper/ground from tawa-ii mine of pathakhera area of m/s wcl to stps, sarni by contractor in completely covered and sealed tipp</t>
        </is>
      </c>
      <c r="K225" t="inlineStr">
        <is>
          <t>Coal transport (road)</t>
        </is>
      </c>
      <c r="L225" t="inlineStr">
        <is>
          <t>Madhya Pradesh Power Generating Company Limited</t>
        </is>
      </c>
      <c r="M225" t="inlineStr">
        <is>
          <t>Madhya Pradesh</t>
        </is>
      </c>
      <c r="N225" t="inlineStr">
        <is>
          <t>Betul</t>
        </is>
      </c>
      <c r="O225" s="5" t="n">
        <v>45908</v>
      </c>
      <c r="P225" t="inlineStr">
        <is>
          <t>Financial</t>
        </is>
      </c>
      <c r="Q225" t="inlineStr">
        <is>
          <t>-</t>
        </is>
      </c>
      <c r="R225" t="inlineStr"/>
      <c r="S225" t="inlineStr">
        <is>
          <t>5 named / 5</t>
        </is>
      </c>
      <c r="U225" s="6">
        <f>IF(ISNUMBER(G225),MAX(MAX(G225,Settings!$B$13)*Settings!$B$7*Settings!$B$5,IF(ISNUMBER(Settings!$B$12),Settings!$B$12,0))*(1+IF(Settings!$B$11="Y",0,Settings!$B$10/100))+N(Settings!$B$9),"")</f>
        <v/>
      </c>
      <c r="W225" s="6">
        <f>IF(ISNUMBER(V225),IF(V225*Settings!$B$8&gt;1000,"beyond table",IFERROR(LOOKUP(V225*Settings!$B$8,'FOIS 145A'!$A$2:$A$22,'FOIS 145A'!$C$2:$C$22)*(1+IF(Settings!$B$11="Y",0,Settings!$B$10/100)),"")),"")</f>
        <v/>
      </c>
      <c r="X225" s="6">
        <f>IF(AND(ISNUMBER(U225),ISNUMBER(W225)),U225+W225,"")</f>
        <v/>
      </c>
      <c r="Y225">
        <f>Settings!$B$6</f>
        <v/>
      </c>
    </row>
    <row r="226">
      <c r="A226" t="inlineStr">
        <is>
          <t>No</t>
        </is>
      </c>
      <c r="B226" t="inlineStr">
        <is>
          <t>mine = coal company's tender in Uttar Pradesh; named mine/plant is far</t>
        </is>
      </c>
      <c r="C226" t="inlineStr"/>
      <c r="E226" t="inlineStr"/>
      <c r="H226" t="inlineStr">
        <is>
          <t>15030826</t>
        </is>
      </c>
      <c r="I226" t="inlineStr">
        <is>
          <t>GEM/2025/B/6579332</t>
        </is>
      </c>
      <c r="J226" t="inlineStr">
        <is>
          <t>handling &amp; transport servi</t>
        </is>
      </c>
      <c r="K226" t="inlineStr">
        <is>
          <t>Coal transport (road)</t>
        </is>
      </c>
      <c r="L226" t="inlineStr">
        <is>
          <t>Northern Coalfields Limited</t>
        </is>
      </c>
      <c r="M226" t="inlineStr">
        <is>
          <t>Uttar Pradesh</t>
        </is>
      </c>
      <c r="N226" t="inlineStr">
        <is>
          <t>Sonebhadra</t>
        </is>
      </c>
      <c r="O226" s="5" t="n">
        <v>45904</v>
      </c>
      <c r="P226" t="inlineStr">
        <is>
          <t>AOC</t>
        </is>
      </c>
      <c r="Q226" t="inlineStr">
        <is>
          <t>Khemka Carriers</t>
        </is>
      </c>
      <c r="R226" t="inlineStr"/>
      <c r="S226" t="inlineStr">
        <is>
          <t>5 named / 11</t>
        </is>
      </c>
      <c r="T226" t="n">
        <v>1.6</v>
      </c>
      <c r="U226" s="6">
        <f>IF(ISNUMBER(G226),MAX(MAX(G226,Settings!$B$13)*Settings!$B$7*Settings!$B$5,IF(ISNUMBER(Settings!$B$12),Settings!$B$12,0))*(1+IF(Settings!$B$11="Y",0,Settings!$B$10/100))+N(Settings!$B$9),"")</f>
        <v/>
      </c>
      <c r="W226" s="6">
        <f>IF(ISNUMBER(V226),IF(V226*Settings!$B$8&gt;1000,"beyond table",IFERROR(LOOKUP(V226*Settings!$B$8,'FOIS 145A'!$A$2:$A$22,'FOIS 145A'!$C$2:$C$22)*(1+IF(Settings!$B$11="Y",0,Settings!$B$10/100)),"")),"")</f>
        <v/>
      </c>
      <c r="X226" s="6">
        <f>IF(AND(ISNUMBER(U226),ISNUMBER(W226)),U226+W226,"")</f>
        <v/>
      </c>
      <c r="Y226">
        <f>Settings!$B$6</f>
        <v/>
      </c>
    </row>
    <row r="227">
      <c r="A227" t="inlineStr">
        <is>
          <t>No</t>
        </is>
      </c>
      <c r="B227" t="inlineStr">
        <is>
          <t>mine = coal company's tender in Jharkhand; named mine/plant is far</t>
        </is>
      </c>
      <c r="C227" t="inlineStr"/>
      <c r="E227" t="inlineStr"/>
      <c r="H227" t="inlineStr">
        <is>
          <t>15223366</t>
        </is>
      </c>
      <c r="I227" t="inlineStr">
        <is>
          <t>GEM/2025/B/6574796</t>
        </is>
      </c>
      <c r="J227" t="inlineStr">
        <is>
          <t>handling service, transport service, handling &amp; transport service, “loading and transportation of 11.24 lakh te. coal by cpl and tippers from surface stock (heap no. 2 &amp; 3) of k..</t>
        </is>
      </c>
      <c r="K227" t="inlineStr">
        <is>
          <t>Coal transport (road)</t>
        </is>
      </c>
      <c r="L227" t="inlineStr">
        <is>
          <t>Central Coalfields Limited</t>
        </is>
      </c>
      <c r="M227" t="inlineStr">
        <is>
          <t>Jharkhand</t>
        </is>
      </c>
      <c r="N227" t="inlineStr">
        <is>
          <t>Bokaro</t>
        </is>
      </c>
      <c r="O227" s="5" t="n">
        <v>45898</v>
      </c>
      <c r="P227" t="inlineStr">
        <is>
          <t>AOC</t>
        </is>
      </c>
      <c r="Q227" t="inlineStr">
        <is>
          <t>Dadan Singh Llp</t>
        </is>
      </c>
      <c r="R227" t="inlineStr"/>
      <c r="S227" t="inlineStr">
        <is>
          <t>5 named / 5</t>
        </is>
      </c>
      <c r="T227" t="n">
        <v>10.44</v>
      </c>
      <c r="U227" s="6">
        <f>IF(ISNUMBER(G227),MAX(MAX(G227,Settings!$B$13)*Settings!$B$7*Settings!$B$5,IF(ISNUMBER(Settings!$B$12),Settings!$B$12,0))*(1+IF(Settings!$B$11="Y",0,Settings!$B$10/100))+N(Settings!$B$9),"")</f>
        <v/>
      </c>
      <c r="W227" s="6">
        <f>IF(ISNUMBER(V227),IF(V227*Settings!$B$8&gt;1000,"beyond table",IFERROR(LOOKUP(V227*Settings!$B$8,'FOIS 145A'!$A$2:$A$22,'FOIS 145A'!$C$2:$C$22)*(1+IF(Settings!$B$11="Y",0,Settings!$B$10/100)),"")),"")</f>
        <v/>
      </c>
      <c r="X227" s="6">
        <f>IF(AND(ISNUMBER(U227),ISNUMBER(W227)),U227+W227,"")</f>
        <v/>
      </c>
      <c r="Y227">
        <f>Settings!$B$6</f>
        <v/>
      </c>
    </row>
    <row r="228">
      <c r="A228" t="inlineStr">
        <is>
          <t>No</t>
        </is>
      </c>
      <c r="B228" t="inlineStr">
        <is>
          <t>mine = coal company's tender in Madhya Pradesh; named mine/plant is far</t>
        </is>
      </c>
      <c r="C228" t="inlineStr"/>
      <c r="E228" t="inlineStr"/>
      <c r="H228" t="inlineStr">
        <is>
          <t>15606380</t>
        </is>
      </c>
      <c r="I228" t="inlineStr">
        <is>
          <t>GEM/2025/B/6512018</t>
        </is>
      </c>
      <c r="J228" t="inlineStr">
        <is>
          <t>handling ,transport and other mining services - percentagequote based - handling &amp; transport service, loading andtransportation of coal from surface miner face at dudhichuaproject</t>
        </is>
      </c>
      <c r="K228" t="inlineStr">
        <is>
          <t>Coal transport (road)</t>
        </is>
      </c>
      <c r="L228" t="inlineStr">
        <is>
          <t>Northern Coalfields Limited</t>
        </is>
      </c>
      <c r="M228" t="inlineStr">
        <is>
          <t>Madhya Pradesh</t>
        </is>
      </c>
      <c r="N228" t="inlineStr">
        <is>
          <t>Singrauli</t>
        </is>
      </c>
      <c r="O228" s="5" t="n">
        <v>45890</v>
      </c>
      <c r="P228" t="inlineStr">
        <is>
          <t>AOC</t>
        </is>
      </c>
      <c r="Q228" t="inlineStr">
        <is>
          <t>Hindustan Trade Overseas Private Limited, Khemka Carriers, Rpl Projects Limited, Shanker Fuels Private Limited</t>
        </is>
      </c>
      <c r="R228" t="inlineStr">
        <is>
          <t>G K Associates</t>
        </is>
      </c>
      <c r="S228" t="inlineStr">
        <is>
          <t>5 named / 28</t>
        </is>
      </c>
      <c r="T228" t="n">
        <v>71.97</v>
      </c>
      <c r="U228" s="6">
        <f>IF(ISNUMBER(G228),MAX(MAX(G228,Settings!$B$13)*Settings!$B$7*Settings!$B$5,IF(ISNUMBER(Settings!$B$12),Settings!$B$12,0))*(1+IF(Settings!$B$11="Y",0,Settings!$B$10/100))+N(Settings!$B$9),"")</f>
        <v/>
      </c>
      <c r="W228" s="6">
        <f>IF(ISNUMBER(V228),IF(V228*Settings!$B$8&gt;1000,"beyond table",IFERROR(LOOKUP(V228*Settings!$B$8,'FOIS 145A'!$A$2:$A$22,'FOIS 145A'!$C$2:$C$22)*(1+IF(Settings!$B$11="Y",0,Settings!$B$10/100)),"")),"")</f>
        <v/>
      </c>
      <c r="X228" s="6">
        <f>IF(AND(ISNUMBER(U228),ISNUMBER(W228)),U228+W228,"")</f>
        <v/>
      </c>
      <c r="Y228">
        <f>Settings!$B$6</f>
        <v/>
      </c>
    </row>
    <row r="229">
      <c r="A229" t="inlineStr">
        <is>
          <t>No</t>
        </is>
      </c>
      <c r="B229" t="inlineStr">
        <is>
          <t>mine = coal company's tender in Jharkhand; named mine/plant is far</t>
        </is>
      </c>
      <c r="C229" t="inlineStr"/>
      <c r="E229" t="inlineStr"/>
      <c r="H229" t="inlineStr">
        <is>
          <t>15265837</t>
        </is>
      </c>
      <c r="I229" t="inlineStr">
        <is>
          <t>GEM/2025/B/6519395</t>
        </is>
      </c>
      <c r="J229" t="inlineStr">
        <is>
          <t>handling &amp; transport servi</t>
        </is>
      </c>
      <c r="K229" t="inlineStr">
        <is>
          <t>Coal transport (road)</t>
        </is>
      </c>
      <c r="L229" t="inlineStr">
        <is>
          <t>Central Coalfields Limited</t>
        </is>
      </c>
      <c r="M229" t="inlineStr">
        <is>
          <t>Jharkhand</t>
        </is>
      </c>
      <c r="N229" t="inlineStr">
        <is>
          <t>Chatra</t>
        </is>
      </c>
      <c r="O229" s="5" t="n">
        <v>45885</v>
      </c>
      <c r="P229" t="inlineStr">
        <is>
          <t>AOC</t>
        </is>
      </c>
      <c r="Q229" t="inlineStr">
        <is>
          <t>M/S United Coal Carriers</t>
        </is>
      </c>
      <c r="R229" t="inlineStr">
        <is>
          <t>G K Associates</t>
        </is>
      </c>
      <c r="S229" t="inlineStr">
        <is>
          <t>5 named / 20</t>
        </is>
      </c>
      <c r="T229" t="n">
        <v>496.51</v>
      </c>
      <c r="U229" s="6">
        <f>IF(ISNUMBER(G229),MAX(MAX(G229,Settings!$B$13)*Settings!$B$7*Settings!$B$5,IF(ISNUMBER(Settings!$B$12),Settings!$B$12,0))*(1+IF(Settings!$B$11="Y",0,Settings!$B$10/100))+N(Settings!$B$9),"")</f>
        <v/>
      </c>
      <c r="W229" s="6">
        <f>IF(ISNUMBER(V229),IF(V229*Settings!$B$8&gt;1000,"beyond table",IFERROR(LOOKUP(V229*Settings!$B$8,'FOIS 145A'!$A$2:$A$22,'FOIS 145A'!$C$2:$C$22)*(1+IF(Settings!$B$11="Y",0,Settings!$B$10/100)),"")),"")</f>
        <v/>
      </c>
      <c r="X229" s="6">
        <f>IF(AND(ISNUMBER(U229),ISNUMBER(W229)),U229+W229,"")</f>
        <v/>
      </c>
      <c r="Y229">
        <f>Settings!$B$6</f>
        <v/>
      </c>
    </row>
    <row r="230">
      <c r="A230" t="inlineStr">
        <is>
          <t>No</t>
        </is>
      </c>
      <c r="B230" t="inlineStr">
        <is>
          <t>mine = coal company's tender in Madhya Pradesh; named mine/plant is far</t>
        </is>
      </c>
      <c r="C230" t="inlineStr"/>
      <c r="E230" t="inlineStr"/>
      <c r="H230" t="inlineStr">
        <is>
          <t>14860566</t>
        </is>
      </c>
      <c r="I230" t="inlineStr">
        <is>
          <t>GEM/2025/B/6453794</t>
        </is>
      </c>
      <c r="J230" t="inlineStr">
        <is>
          <t>handling &amp; transport servi</t>
        </is>
      </c>
      <c r="K230" t="inlineStr">
        <is>
          <t>Coal transport (road)</t>
        </is>
      </c>
      <c r="L230" t="inlineStr">
        <is>
          <t>Northern Coalfields Limited</t>
        </is>
      </c>
      <c r="M230" t="inlineStr">
        <is>
          <t>Madhya Pradesh</t>
        </is>
      </c>
      <c r="N230" t="inlineStr">
        <is>
          <t>Sidhi</t>
        </is>
      </c>
      <c r="O230" s="5" t="n">
        <v>45870</v>
      </c>
      <c r="P230" t="inlineStr">
        <is>
          <t>AOC</t>
        </is>
      </c>
      <c r="Q230" t="inlineStr">
        <is>
          <t>Bla Infrastructure Private Limited</t>
        </is>
      </c>
      <c r="R230" t="inlineStr"/>
      <c r="S230" t="inlineStr">
        <is>
          <t>5 named / 12</t>
        </is>
      </c>
      <c r="T230" t="n">
        <v>6.39</v>
      </c>
      <c r="U230" s="6">
        <f>IF(ISNUMBER(G230),MAX(MAX(G230,Settings!$B$13)*Settings!$B$7*Settings!$B$5,IF(ISNUMBER(Settings!$B$12),Settings!$B$12,0))*(1+IF(Settings!$B$11="Y",0,Settings!$B$10/100))+N(Settings!$B$9),"")</f>
        <v/>
      </c>
      <c r="W230" s="6">
        <f>IF(ISNUMBER(V230),IF(V230*Settings!$B$8&gt;1000,"beyond table",IFERROR(LOOKUP(V230*Settings!$B$8,'FOIS 145A'!$A$2:$A$22,'FOIS 145A'!$C$2:$C$22)*(1+IF(Settings!$B$11="Y",0,Settings!$B$10/100)),"")),"")</f>
        <v/>
      </c>
      <c r="X230" s="6">
        <f>IF(AND(ISNUMBER(U230),ISNUMBER(W230)),U230+W230,"")</f>
        <v/>
      </c>
      <c r="Y230">
        <f>Settings!$B$6</f>
        <v/>
      </c>
    </row>
    <row r="231">
      <c r="A231" t="inlineStr">
        <is>
          <t>No</t>
        </is>
      </c>
      <c r="B231" t="inlineStr">
        <is>
          <t>mine = coal company's tender in Maharashtra; named mine/plant is far</t>
        </is>
      </c>
      <c r="C231" t="inlineStr"/>
      <c r="E231" t="inlineStr"/>
      <c r="H231" t="inlineStr">
        <is>
          <t>15666330</t>
        </is>
      </c>
      <c r="I231" t="inlineStr">
        <is>
          <t>GEM/2025/B/6445454</t>
        </is>
      </c>
      <c r="J231" t="inlineStr">
        <is>
          <t>handling &amp; transport servi</t>
        </is>
      </c>
      <c r="K231" t="inlineStr">
        <is>
          <t>Coal transport (road)</t>
        </is>
      </c>
      <c r="L231" t="inlineStr">
        <is>
          <t>Western Coalfields Limited</t>
        </is>
      </c>
      <c r="M231" t="inlineStr">
        <is>
          <t>Maharashtra</t>
        </is>
      </c>
      <c r="N231" t="inlineStr">
        <is>
          <t>Chandrapur</t>
        </is>
      </c>
      <c r="O231" s="5" t="n">
        <v>45869</v>
      </c>
      <c r="P231" t="inlineStr">
        <is>
          <t>AOC</t>
        </is>
      </c>
      <c r="Q231" t="inlineStr">
        <is>
          <t>Hanumant Construction Private Limited</t>
        </is>
      </c>
      <c r="R231" t="inlineStr"/>
      <c r="S231" t="inlineStr">
        <is>
          <t>5 named / 6</t>
        </is>
      </c>
      <c r="T231" t="n">
        <v>90.88</v>
      </c>
      <c r="U231" s="6">
        <f>IF(ISNUMBER(G231),MAX(MAX(G231,Settings!$B$13)*Settings!$B$7*Settings!$B$5,IF(ISNUMBER(Settings!$B$12),Settings!$B$12,0))*(1+IF(Settings!$B$11="Y",0,Settings!$B$10/100))+N(Settings!$B$9),"")</f>
        <v/>
      </c>
      <c r="W231" s="6">
        <f>IF(ISNUMBER(V231),IF(V231*Settings!$B$8&gt;1000,"beyond table",IFERROR(LOOKUP(V231*Settings!$B$8,'FOIS 145A'!$A$2:$A$22,'FOIS 145A'!$C$2:$C$22)*(1+IF(Settings!$B$11="Y",0,Settings!$B$10/100)),"")),"")</f>
        <v/>
      </c>
      <c r="X231" s="6">
        <f>IF(AND(ISNUMBER(U231),ISNUMBER(W231)),U231+W231,"")</f>
        <v/>
      </c>
      <c r="Y231">
        <f>Settings!$B$6</f>
        <v/>
      </c>
    </row>
    <row r="232">
      <c r="A232" t="inlineStr">
        <is>
          <t>No</t>
        </is>
      </c>
      <c r="B232" t="inlineStr">
        <is>
          <t>mine = coal company's tender in Jharkhand; named mine/plant is far</t>
        </is>
      </c>
      <c r="C232" t="inlineStr"/>
      <c r="E232" t="inlineStr"/>
      <c r="H232" t="inlineStr">
        <is>
          <t>14890517</t>
        </is>
      </c>
      <c r="I232" t="inlineStr">
        <is>
          <t>GEM/2025/B/6442759</t>
        </is>
      </c>
      <c r="J232" t="inlineStr">
        <is>
          <t>handling &amp; transport servi</t>
        </is>
      </c>
      <c r="K232" t="inlineStr">
        <is>
          <t>Coal transport (road)</t>
        </is>
      </c>
      <c r="L232" t="inlineStr">
        <is>
          <t>Central Coalfields Limited</t>
        </is>
      </c>
      <c r="M232" t="inlineStr">
        <is>
          <t>Jharkhand</t>
        </is>
      </c>
      <c r="N232" t="inlineStr">
        <is>
          <t>Ranchi</t>
        </is>
      </c>
      <c r="O232" s="5" t="n">
        <v>45864</v>
      </c>
      <c r="P232" t="inlineStr">
        <is>
          <t>AOC</t>
        </is>
      </c>
      <c r="Q232" t="inlineStr">
        <is>
          <t>Ra Petrochemicals Private Limited</t>
        </is>
      </c>
      <c r="R232" t="inlineStr">
        <is>
          <t>United Coal Carriers</t>
        </is>
      </c>
      <c r="S232" t="inlineStr">
        <is>
          <t>5 named / 9</t>
        </is>
      </c>
      <c r="T232" t="n">
        <v>6.49</v>
      </c>
      <c r="U232" s="6">
        <f>IF(ISNUMBER(G232),MAX(MAX(G232,Settings!$B$13)*Settings!$B$7*Settings!$B$5,IF(ISNUMBER(Settings!$B$12),Settings!$B$12,0))*(1+IF(Settings!$B$11="Y",0,Settings!$B$10/100))+N(Settings!$B$9),"")</f>
        <v/>
      </c>
      <c r="W232" s="6">
        <f>IF(ISNUMBER(V232),IF(V232*Settings!$B$8&gt;1000,"beyond table",IFERROR(LOOKUP(V232*Settings!$B$8,'FOIS 145A'!$A$2:$A$22,'FOIS 145A'!$C$2:$C$22)*(1+IF(Settings!$B$11="Y",0,Settings!$B$10/100)),"")),"")</f>
        <v/>
      </c>
      <c r="X232" s="6">
        <f>IF(AND(ISNUMBER(U232),ISNUMBER(W232)),U232+W232,"")</f>
        <v/>
      </c>
      <c r="Y232">
        <f>Settings!$B$6</f>
        <v/>
      </c>
    </row>
    <row r="233">
      <c r="A233" t="inlineStr">
        <is>
          <t>No</t>
        </is>
      </c>
      <c r="B233" t="inlineStr">
        <is>
          <t>plant = tender city in Madhya Pradesh; named mine/plant is far</t>
        </is>
      </c>
      <c r="C233" t="inlineStr"/>
      <c r="E233" t="inlineStr"/>
      <c r="H233" t="inlineStr">
        <is>
          <t>14798139</t>
        </is>
      </c>
      <c r="I233" t="inlineStr">
        <is>
          <t>GEM/2025/B/6409906</t>
        </is>
      </c>
      <c r="J233" t="inlineStr">
        <is>
          <t>goods transport services - per mt - coal/ash; tipper/dump truck; medium tipper</t>
        </is>
      </c>
      <c r="K233" t="inlineStr">
        <is>
          <t>Coal transport (road)</t>
        </is>
      </c>
      <c r="L233" t="inlineStr">
        <is>
          <t>Moil Limited</t>
        </is>
      </c>
      <c r="M233" t="inlineStr">
        <is>
          <t>Madhya Pradesh</t>
        </is>
      </c>
      <c r="N233" t="inlineStr">
        <is>
          <t>Balaghat</t>
        </is>
      </c>
      <c r="O233" s="5" t="n">
        <v>45862</v>
      </c>
      <c r="P233" t="inlineStr">
        <is>
          <t>Financial</t>
        </is>
      </c>
      <c r="Q233" t="inlineStr">
        <is>
          <t>-</t>
        </is>
      </c>
      <c r="R233" t="inlineStr"/>
      <c r="S233" t="inlineStr">
        <is>
          <t>5 named / 5</t>
        </is>
      </c>
      <c r="U233" s="6">
        <f>IF(ISNUMBER(G233),MAX(MAX(G233,Settings!$B$13)*Settings!$B$7*Settings!$B$5,IF(ISNUMBER(Settings!$B$12),Settings!$B$12,0))*(1+IF(Settings!$B$11="Y",0,Settings!$B$10/100))+N(Settings!$B$9),"")</f>
        <v/>
      </c>
      <c r="W233" s="6">
        <f>IF(ISNUMBER(V233),IF(V233*Settings!$B$8&gt;1000,"beyond table",IFERROR(LOOKUP(V233*Settings!$B$8,'FOIS 145A'!$A$2:$A$22,'FOIS 145A'!$C$2:$C$22)*(1+IF(Settings!$B$11="Y",0,Settings!$B$10/100)),"")),"")</f>
        <v/>
      </c>
      <c r="X233" s="6">
        <f>IF(AND(ISNUMBER(U233),ISNUMBER(W233)),U233+W233,"")</f>
        <v/>
      </c>
      <c r="Y233">
        <f>Settings!$B$6</f>
        <v/>
      </c>
    </row>
    <row r="234">
      <c r="A234" t="inlineStr">
        <is>
          <t>No</t>
        </is>
      </c>
      <c r="B234" t="inlineStr">
        <is>
          <t>plant = tender city in Jharkhand; named mine/plant is far</t>
        </is>
      </c>
      <c r="C234" t="inlineStr"/>
      <c r="E234" t="inlineStr"/>
      <c r="H234" t="inlineStr">
        <is>
          <t>14483226</t>
        </is>
      </c>
      <c r="I234" t="inlineStr">
        <is>
          <t>GEM/2025/B/6387250</t>
        </is>
      </c>
      <c r="J234" t="inlineStr">
        <is>
          <t>loading transportation and unloading of coal from any surface stock yard</t>
        </is>
      </c>
      <c r="K234" t="inlineStr">
        <is>
          <t>Coal transport (road)</t>
        </is>
      </c>
      <c r="L234" t="inlineStr">
        <is>
          <t>National Thermal Power Corporation Limited</t>
        </is>
      </c>
      <c r="M234" t="inlineStr">
        <is>
          <t>Jharkhand</t>
        </is>
      </c>
      <c r="N234" t="inlineStr">
        <is>
          <t>Ranchi</t>
        </is>
      </c>
      <c r="O234" s="5" t="n">
        <v>45848</v>
      </c>
      <c r="P234" t="inlineStr">
        <is>
          <t>AOC</t>
        </is>
      </c>
      <c r="Q234" t="inlineStr">
        <is>
          <t>Vpr Mining Infrastructure Private Limited</t>
        </is>
      </c>
      <c r="R234" t="inlineStr">
        <is>
          <t>Anoop Road Carriers, G K Associates</t>
        </is>
      </c>
      <c r="S234" t="inlineStr">
        <is>
          <t>5 named / 16</t>
        </is>
      </c>
      <c r="T234" t="n">
        <v>28.34</v>
      </c>
      <c r="U234" s="6">
        <f>IF(ISNUMBER(G234),MAX(MAX(G234,Settings!$B$13)*Settings!$B$7*Settings!$B$5,IF(ISNUMBER(Settings!$B$12),Settings!$B$12,0))*(1+IF(Settings!$B$11="Y",0,Settings!$B$10/100))+N(Settings!$B$9),"")</f>
        <v/>
      </c>
      <c r="W234" s="6">
        <f>IF(ISNUMBER(V234),IF(V234*Settings!$B$8&gt;1000,"beyond table",IFERROR(LOOKUP(V234*Settings!$B$8,'FOIS 145A'!$A$2:$A$22,'FOIS 145A'!$C$2:$C$22)*(1+IF(Settings!$B$11="Y",0,Settings!$B$10/100)),"")),"")</f>
        <v/>
      </c>
      <c r="X234" s="6">
        <f>IF(AND(ISNUMBER(U234),ISNUMBER(W234)),U234+W234,"")</f>
        <v/>
      </c>
      <c r="Y234">
        <f>Settings!$B$6</f>
        <v/>
      </c>
    </row>
    <row r="235">
      <c r="A235" t="inlineStr">
        <is>
          <t>No</t>
        </is>
      </c>
      <c r="B235" t="inlineStr">
        <is>
          <t>plant = tender city in Jharkhand; named mine/plant is far</t>
        </is>
      </c>
      <c r="C235" t="inlineStr"/>
      <c r="E235" t="inlineStr"/>
      <c r="H235" t="inlineStr">
        <is>
          <t>14313903</t>
        </is>
      </c>
      <c r="I235" t="inlineStr">
        <is>
          <t>GEM/2025/B/6335550</t>
        </is>
      </c>
      <c r="J235" t="inlineStr">
        <is>
          <t>coal transportation from surface coal yard of kerandari cmp to ntpc north</t>
        </is>
      </c>
      <c r="K235" t="inlineStr">
        <is>
          <t>Coal transport (road)</t>
        </is>
      </c>
      <c r="L235" t="inlineStr">
        <is>
          <t>National Thermal Power Corporation Limited</t>
        </is>
      </c>
      <c r="M235" t="inlineStr">
        <is>
          <t>Jharkhand</t>
        </is>
      </c>
      <c r="N235" t="inlineStr">
        <is>
          <t>Hazaribagh</t>
        </is>
      </c>
      <c r="O235" s="5" t="n">
        <v>45834</v>
      </c>
      <c r="P235" t="inlineStr">
        <is>
          <t>Financial</t>
        </is>
      </c>
      <c r="Q235" t="inlineStr">
        <is>
          <t>-</t>
        </is>
      </c>
      <c r="R235" t="inlineStr">
        <is>
          <t>Godavari Commodities</t>
        </is>
      </c>
      <c r="S235" t="inlineStr">
        <is>
          <t>5 named / 9</t>
        </is>
      </c>
      <c r="U235" s="6">
        <f>IF(ISNUMBER(G235),MAX(MAX(G235,Settings!$B$13)*Settings!$B$7*Settings!$B$5,IF(ISNUMBER(Settings!$B$12),Settings!$B$12,0))*(1+IF(Settings!$B$11="Y",0,Settings!$B$10/100))+N(Settings!$B$9),"")</f>
        <v/>
      </c>
      <c r="W235" s="6">
        <f>IF(ISNUMBER(V235),IF(V235*Settings!$B$8&gt;1000,"beyond table",IFERROR(LOOKUP(V235*Settings!$B$8,'FOIS 145A'!$A$2:$A$22,'FOIS 145A'!$C$2:$C$22)*(1+IF(Settings!$B$11="Y",0,Settings!$B$10/100)),"")),"")</f>
        <v/>
      </c>
      <c r="X235" s="6">
        <f>IF(AND(ISNUMBER(U235),ISNUMBER(W235)),U235+W235,"")</f>
        <v/>
      </c>
      <c r="Y235">
        <f>Settings!$B$6</f>
        <v/>
      </c>
    </row>
    <row r="236">
      <c r="A236" t="inlineStr">
        <is>
          <t>No</t>
        </is>
      </c>
      <c r="B236" t="inlineStr">
        <is>
          <t>plant = tender city in West Bengal; named mine/plant is far</t>
        </is>
      </c>
      <c r="C236" t="inlineStr"/>
      <c r="E236" t="inlineStr"/>
      <c r="H236" t="inlineStr">
        <is>
          <t>16054040</t>
        </is>
      </c>
      <c r="I236" t="inlineStr">
        <is>
          <t>2025_DVC_236287_1</t>
        </is>
      </c>
      <c r="J236" t="inlineStr">
        <is>
          <t>loading of coal at colliery/colliery pit head/stack yard and transportation of coal by road with dumpers/ tippers/ hyva from different collieries/ coal washeries of bccl/ecl/ ccl/any other coal compan</t>
        </is>
      </c>
      <c r="K236" t="inlineStr">
        <is>
          <t>Coal transport (road)</t>
        </is>
      </c>
      <c r="L236" t="inlineStr">
        <is>
          <t>Damodar Valley Corporation</t>
        </is>
      </c>
      <c r="M236" t="inlineStr">
        <is>
          <t>West Bengal</t>
        </is>
      </c>
      <c r="N236" t="inlineStr">
        <is>
          <t>Purulia</t>
        </is>
      </c>
      <c r="O236" s="5" t="n">
        <v>45828</v>
      </c>
      <c r="P236" t="inlineStr">
        <is>
          <t>Financial</t>
        </is>
      </c>
      <c r="Q236" t="inlineStr">
        <is>
          <t>-</t>
        </is>
      </c>
      <c r="R236" t="inlineStr">
        <is>
          <t>Godavari Commodities</t>
        </is>
      </c>
      <c r="S236" t="inlineStr">
        <is>
          <t>5 named / 14</t>
        </is>
      </c>
      <c r="U236" s="6">
        <f>IF(ISNUMBER(G236),MAX(MAX(G236,Settings!$B$13)*Settings!$B$7*Settings!$B$5,IF(ISNUMBER(Settings!$B$12),Settings!$B$12,0))*(1+IF(Settings!$B$11="Y",0,Settings!$B$10/100))+N(Settings!$B$9),"")</f>
        <v/>
      </c>
      <c r="W236" s="6">
        <f>IF(ISNUMBER(V236),IF(V236*Settings!$B$8&gt;1000,"beyond table",IFERROR(LOOKUP(V236*Settings!$B$8,'FOIS 145A'!$A$2:$A$22,'FOIS 145A'!$C$2:$C$22)*(1+IF(Settings!$B$11="Y",0,Settings!$B$10/100)),"")),"")</f>
        <v/>
      </c>
      <c r="X236" s="6">
        <f>IF(AND(ISNUMBER(U236),ISNUMBER(W236)),U236+W236,"")</f>
        <v/>
      </c>
      <c r="Y236">
        <f>Settings!$B$6</f>
        <v/>
      </c>
    </row>
    <row r="237">
      <c r="A237" t="inlineStr">
        <is>
          <t>No</t>
        </is>
      </c>
      <c r="B237" t="inlineStr">
        <is>
          <t>plant = tender city in Bihar; named mine/plant is far</t>
        </is>
      </c>
      <c r="C237" t="inlineStr"/>
      <c r="E237" t="inlineStr"/>
      <c r="H237" t="inlineStr">
        <is>
          <t>14137488</t>
        </is>
      </c>
      <c r="I237" t="inlineStr">
        <is>
          <t>GEM/2025/B/6289474</t>
        </is>
      </c>
      <c r="J237" t="inlineStr">
        <is>
          <t>hiring of an agency for road transportation of coal including liaisoning,</t>
        </is>
      </c>
      <c r="K237" t="inlineStr">
        <is>
          <t>Coal transport (road)</t>
        </is>
      </c>
      <c r="L237" t="inlineStr">
        <is>
          <t>Satluj Jal Vidyut Nigam Limited</t>
        </is>
      </c>
      <c r="M237" t="inlineStr">
        <is>
          <t>Bihar</t>
        </is>
      </c>
      <c r="N237" t="inlineStr">
        <is>
          <t>Buxar</t>
        </is>
      </c>
      <c r="O237" s="5" t="n">
        <v>45825</v>
      </c>
      <c r="P237" t="inlineStr">
        <is>
          <t>AOC</t>
        </is>
      </c>
      <c r="Q237" t="inlineStr">
        <is>
          <t>Pragati Indian Road Lines</t>
        </is>
      </c>
      <c r="R237" t="inlineStr">
        <is>
          <t>Anoop Road Carriers, Godavari Commodities</t>
        </is>
      </c>
      <c r="S237" t="inlineStr">
        <is>
          <t>5 named / 18</t>
        </is>
      </c>
      <c r="T237" t="n">
        <v>94.75</v>
      </c>
      <c r="U237" s="6">
        <f>IF(ISNUMBER(G237),MAX(MAX(G237,Settings!$B$13)*Settings!$B$7*Settings!$B$5,IF(ISNUMBER(Settings!$B$12),Settings!$B$12,0))*(1+IF(Settings!$B$11="Y",0,Settings!$B$10/100))+N(Settings!$B$9),"")</f>
        <v/>
      </c>
      <c r="W237" s="6">
        <f>IF(ISNUMBER(V237),IF(V237*Settings!$B$8&gt;1000,"beyond table",IFERROR(LOOKUP(V237*Settings!$B$8,'FOIS 145A'!$A$2:$A$22,'FOIS 145A'!$C$2:$C$22)*(1+IF(Settings!$B$11="Y",0,Settings!$B$10/100)),"")),"")</f>
        <v/>
      </c>
      <c r="X237" s="6">
        <f>IF(AND(ISNUMBER(U237),ISNUMBER(W237)),U237+W237,"")</f>
        <v/>
      </c>
      <c r="Y237">
        <f>Settings!$B$6</f>
        <v/>
      </c>
    </row>
    <row r="238">
      <c r="A238" t="inlineStr">
        <is>
          <t>No</t>
        </is>
      </c>
      <c r="B238" t="inlineStr">
        <is>
          <t>plant = tender city in Jharkhand; named mine/plant is far</t>
        </is>
      </c>
      <c r="C238" t="inlineStr"/>
      <c r="E238" t="inlineStr"/>
      <c r="H238" t="inlineStr">
        <is>
          <t>15800511</t>
        </is>
      </c>
      <c r="I238" t="inlineStr">
        <is>
          <t>2025_DVC_232985_1</t>
        </is>
      </c>
      <c r="J238" t="inlineStr">
        <is>
          <t>annual contract for loading and transportation of coal by road with dumper/ tipper/hywa from different collieries of ccl/ bccl to btps coal yard in the distance slab of (05-25 km and 26-50 km</t>
        </is>
      </c>
      <c r="K238" t="inlineStr">
        <is>
          <t>Coal transport (road)</t>
        </is>
      </c>
      <c r="L238" t="inlineStr">
        <is>
          <t>Damodar Valley Corporation</t>
        </is>
      </c>
      <c r="M238" t="inlineStr">
        <is>
          <t>Jharkhand</t>
        </is>
      </c>
      <c r="N238" t="inlineStr">
        <is>
          <t>Bokaro</t>
        </is>
      </c>
      <c r="O238" s="5" t="n">
        <v>45799</v>
      </c>
      <c r="P238" t="inlineStr">
        <is>
          <t>Financial</t>
        </is>
      </c>
      <c r="Q238" t="inlineStr">
        <is>
          <t>-</t>
        </is>
      </c>
      <c r="R238" t="inlineStr"/>
      <c r="S238" t="inlineStr">
        <is>
          <t>5 named / 19</t>
        </is>
      </c>
      <c r="U238" s="6">
        <f>IF(ISNUMBER(G238),MAX(MAX(G238,Settings!$B$13)*Settings!$B$7*Settings!$B$5,IF(ISNUMBER(Settings!$B$12),Settings!$B$12,0))*(1+IF(Settings!$B$11="Y",0,Settings!$B$10/100))+N(Settings!$B$9),"")</f>
        <v/>
      </c>
      <c r="W238" s="6">
        <f>IF(ISNUMBER(V238),IF(V238*Settings!$B$8&gt;1000,"beyond table",IFERROR(LOOKUP(V238*Settings!$B$8,'FOIS 145A'!$A$2:$A$22,'FOIS 145A'!$C$2:$C$22)*(1+IF(Settings!$B$11="Y",0,Settings!$B$10/100)),"")),"")</f>
        <v/>
      </c>
      <c r="X238" s="6">
        <f>IF(AND(ISNUMBER(U238),ISNUMBER(W238)),U238+W238,"")</f>
        <v/>
      </c>
      <c r="Y238">
        <f>Settings!$B$6</f>
        <v/>
      </c>
    </row>
    <row r="239">
      <c r="A239" t="inlineStr">
        <is>
          <t>No</t>
        </is>
      </c>
      <c r="B239" t="inlineStr">
        <is>
          <t>plant = tender city in West Bengal; named mine/plant is far</t>
        </is>
      </c>
      <c r="C239" t="inlineStr"/>
      <c r="E239" t="inlineStr"/>
      <c r="H239" t="inlineStr">
        <is>
          <t>16578408</t>
        </is>
      </c>
      <c r="I239" t="inlineStr">
        <is>
          <t>2025_DVC_232846_1</t>
        </is>
      </c>
      <c r="J239" t="inlineStr">
        <is>
          <t>contract for loading of coal at colliery colliery pit head stack yard and transportation of coal by road with dumpers  tippers  hyva from different collieries  coal washeries of bccl ecl ccl any other</t>
        </is>
      </c>
      <c r="K239" t="inlineStr">
        <is>
          <t>Coal transport (road)</t>
        </is>
      </c>
      <c r="L239" t="inlineStr">
        <is>
          <t>Damodar Valley Corporation</t>
        </is>
      </c>
      <c r="M239" t="inlineStr">
        <is>
          <t>West Bengal</t>
        </is>
      </c>
      <c r="N239" t="inlineStr">
        <is>
          <t>Purulia</t>
        </is>
      </c>
      <c r="O239" s="5" t="n">
        <v>45798</v>
      </c>
      <c r="P239" t="inlineStr">
        <is>
          <t>Financial</t>
        </is>
      </c>
      <c r="Q239" t="inlineStr">
        <is>
          <t>-</t>
        </is>
      </c>
      <c r="R239" t="inlineStr"/>
      <c r="S239" t="inlineStr">
        <is>
          <t>5 named / 15</t>
        </is>
      </c>
      <c r="U239" s="6">
        <f>IF(ISNUMBER(G239),MAX(MAX(G239,Settings!$B$13)*Settings!$B$7*Settings!$B$5,IF(ISNUMBER(Settings!$B$12),Settings!$B$12,0))*(1+IF(Settings!$B$11="Y",0,Settings!$B$10/100))+N(Settings!$B$9),"")</f>
        <v/>
      </c>
      <c r="W239" s="6">
        <f>IF(ISNUMBER(V239),IF(V239*Settings!$B$8&gt;1000,"beyond table",IFERROR(LOOKUP(V239*Settings!$B$8,'FOIS 145A'!$A$2:$A$22,'FOIS 145A'!$C$2:$C$22)*(1+IF(Settings!$B$11="Y",0,Settings!$B$10/100)),"")),"")</f>
        <v/>
      </c>
      <c r="X239" s="6">
        <f>IF(AND(ISNUMBER(U239),ISNUMBER(W239)),U239+W239,"")</f>
        <v/>
      </c>
      <c r="Y239">
        <f>Settings!$B$6</f>
        <v/>
      </c>
    </row>
    <row r="240">
      <c r="A240" t="inlineStr">
        <is>
          <t>No</t>
        </is>
      </c>
      <c r="B240" t="inlineStr">
        <is>
          <t>mine = coal company's tender in Madhya Pradesh; named mine/plant is far</t>
        </is>
      </c>
      <c r="C240" t="inlineStr"/>
      <c r="E240" t="inlineStr"/>
      <c r="H240" t="inlineStr">
        <is>
          <t>13577938</t>
        </is>
      </c>
      <c r="I240" t="inlineStr">
        <is>
          <t>GEM/2025/B/6185336</t>
        </is>
      </c>
      <c r="J240" t="inlineStr">
        <is>
          <t>handling &amp; transport servi</t>
        </is>
      </c>
      <c r="K240" t="inlineStr">
        <is>
          <t>Coal transport (road)</t>
        </is>
      </c>
      <c r="L240" t="inlineStr">
        <is>
          <t>South Eastern Coalfields Limited</t>
        </is>
      </c>
      <c r="M240" t="inlineStr">
        <is>
          <t>Madhya Pradesh</t>
        </is>
      </c>
      <c r="N240" t="inlineStr">
        <is>
          <t>Anuppur</t>
        </is>
      </c>
      <c r="O240" s="5" t="n">
        <v>45793</v>
      </c>
      <c r="P240" t="inlineStr">
        <is>
          <t>AOC</t>
        </is>
      </c>
      <c r="Q240" t="inlineStr">
        <is>
          <t>Nakul Tiwari</t>
        </is>
      </c>
      <c r="R240" t="inlineStr">
        <is>
          <t>G K Associates</t>
        </is>
      </c>
      <c r="S240" t="inlineStr">
        <is>
          <t>5 named / 8</t>
        </is>
      </c>
      <c r="T240" t="n">
        <v>2.38</v>
      </c>
      <c r="U240" s="6">
        <f>IF(ISNUMBER(G240),MAX(MAX(G240,Settings!$B$13)*Settings!$B$7*Settings!$B$5,IF(ISNUMBER(Settings!$B$12),Settings!$B$12,0))*(1+IF(Settings!$B$11="Y",0,Settings!$B$10/100))+N(Settings!$B$9),"")</f>
        <v/>
      </c>
      <c r="W240" s="6">
        <f>IF(ISNUMBER(V240),IF(V240*Settings!$B$8&gt;1000,"beyond table",IFERROR(LOOKUP(V240*Settings!$B$8,'FOIS 145A'!$A$2:$A$22,'FOIS 145A'!$C$2:$C$22)*(1+IF(Settings!$B$11="Y",0,Settings!$B$10/100)),"")),"")</f>
        <v/>
      </c>
      <c r="X240" s="6">
        <f>IF(AND(ISNUMBER(U240),ISNUMBER(W240)),U240+W240,"")</f>
        <v/>
      </c>
      <c r="Y240">
        <f>Settings!$B$6</f>
        <v/>
      </c>
    </row>
    <row r="241">
      <c r="A241" t="inlineStr">
        <is>
          <t>No</t>
        </is>
      </c>
      <c r="B241" t="inlineStr">
        <is>
          <t>plant = tender city in Jharkhand; named mine/plant is far</t>
        </is>
      </c>
      <c r="C241" t="inlineStr"/>
      <c r="E241" t="inlineStr"/>
      <c r="H241" t="inlineStr">
        <is>
          <t>15695787</t>
        </is>
      </c>
      <c r="I241" t="inlineStr">
        <is>
          <t>2025_DVC_232656_1</t>
        </is>
      </c>
      <c r="J241" t="inlineStr">
        <is>
          <t>contract for loading, transportation of coal by road mode from different collieries of ccl to dvc ctps coal yard and unloading in the slab 05 to 25 km and 26 to 50 km</t>
        </is>
      </c>
      <c r="K241" t="inlineStr">
        <is>
          <t>Coal transport (road)</t>
        </is>
      </c>
      <c r="L241" t="inlineStr">
        <is>
          <t>Damodar Valley Corporation</t>
        </is>
      </c>
      <c r="M241" t="inlineStr">
        <is>
          <t>Jharkhand</t>
        </is>
      </c>
      <c r="N241" t="inlineStr">
        <is>
          <t>Bokaro</t>
        </is>
      </c>
      <c r="O241" s="5" t="n">
        <v>45786</v>
      </c>
      <c r="P241" t="inlineStr">
        <is>
          <t>Financial</t>
        </is>
      </c>
      <c r="Q241" t="inlineStr">
        <is>
          <t>-</t>
        </is>
      </c>
      <c r="R241" t="inlineStr"/>
      <c r="S241" t="inlineStr">
        <is>
          <t>5 named / 18</t>
        </is>
      </c>
      <c r="U241" s="6">
        <f>IF(ISNUMBER(G241),MAX(MAX(G241,Settings!$B$13)*Settings!$B$7*Settings!$B$5,IF(ISNUMBER(Settings!$B$12),Settings!$B$12,0))*(1+IF(Settings!$B$11="Y",0,Settings!$B$10/100))+N(Settings!$B$9),"")</f>
        <v/>
      </c>
      <c r="W241" s="6">
        <f>IF(ISNUMBER(V241),IF(V241*Settings!$B$8&gt;1000,"beyond table",IFERROR(LOOKUP(V241*Settings!$B$8,'FOIS 145A'!$A$2:$A$22,'FOIS 145A'!$C$2:$C$22)*(1+IF(Settings!$B$11="Y",0,Settings!$B$10/100)),"")),"")</f>
        <v/>
      </c>
      <c r="X241" s="6">
        <f>IF(AND(ISNUMBER(U241),ISNUMBER(W241)),U241+W241,"")</f>
        <v/>
      </c>
      <c r="Y241">
        <f>Settings!$B$6</f>
        <v/>
      </c>
    </row>
    <row r="242">
      <c r="A242" t="inlineStr">
        <is>
          <t>No</t>
        </is>
      </c>
      <c r="B242" t="inlineStr">
        <is>
          <t>named mine/plant is far</t>
        </is>
      </c>
      <c r="C242" t="inlineStr"/>
      <c r="E242" t="inlineStr"/>
      <c r="H242" t="inlineStr">
        <is>
          <t>13705244</t>
        </is>
      </c>
      <c r="I242" t="inlineStr">
        <is>
          <t>2025_NTPC_95616_1</t>
        </is>
      </c>
      <c r="J242" t="inlineStr">
        <is>
          <t>transportation of 9 lmt coal under rsr mode from mcl mines to kudgi</t>
        </is>
      </c>
      <c r="K242" t="inlineStr">
        <is>
          <t>Coal transport (road)</t>
        </is>
      </c>
      <c r="L242" t="inlineStr">
        <is>
          <t>National Thermal Power Corporation Limited</t>
        </is>
      </c>
      <c r="M242" t="inlineStr">
        <is>
          <t>Chhattisgarh</t>
        </is>
      </c>
      <c r="N242" t="inlineStr">
        <is>
          <t>Raipur</t>
        </is>
      </c>
      <c r="O242" s="5" t="n">
        <v>45778</v>
      </c>
      <c r="P242" t="inlineStr">
        <is>
          <t>AOC</t>
        </is>
      </c>
      <c r="Q242" t="inlineStr">
        <is>
          <t>Adani Enterprises Limited</t>
        </is>
      </c>
      <c r="R242" t="inlineStr"/>
      <c r="S242" t="inlineStr">
        <is>
          <t>4 named / 4</t>
        </is>
      </c>
      <c r="T242" t="n">
        <v>187.65</v>
      </c>
      <c r="U242" s="6">
        <f>IF(ISNUMBER(G242),MAX(MAX(G242,Settings!$B$13)*Settings!$B$7*Settings!$B$5,IF(ISNUMBER(Settings!$B$12),Settings!$B$12,0))*(1+IF(Settings!$B$11="Y",0,Settings!$B$10/100))+N(Settings!$B$9),"")</f>
        <v/>
      </c>
      <c r="W242" s="6">
        <f>IF(ISNUMBER(V242),IF(V242*Settings!$B$8&gt;1000,"beyond table",IFERROR(LOOKUP(V242*Settings!$B$8,'FOIS 145A'!$A$2:$A$22,'FOIS 145A'!$C$2:$C$22)*(1+IF(Settings!$B$11="Y",0,Settings!$B$10/100)),"")),"")</f>
        <v/>
      </c>
      <c r="X242" s="6">
        <f>IF(AND(ISNUMBER(U242),ISNUMBER(W242)),U242+W242,"")</f>
        <v/>
      </c>
      <c r="Y242">
        <f>Settings!$B$6</f>
        <v/>
      </c>
    </row>
    <row r="243">
      <c r="A243" t="inlineStr">
        <is>
          <t>No</t>
        </is>
      </c>
      <c r="B243" t="inlineStr">
        <is>
          <t>mine = coal company's tender in Jharkhand; named mine/plant is far</t>
        </is>
      </c>
      <c r="C243" t="inlineStr"/>
      <c r="E243" t="inlineStr"/>
      <c r="H243" t="inlineStr">
        <is>
          <t>13423669</t>
        </is>
      </c>
      <c r="I243" t="inlineStr">
        <is>
          <t>GEM/2025/B/6105497</t>
        </is>
      </c>
      <c r="J243" t="inlineStr">
        <is>
          <t>handling &amp; transport servi</t>
        </is>
      </c>
      <c r="K243" t="inlineStr">
        <is>
          <t>Coal transport (road)</t>
        </is>
      </c>
      <c r="L243" t="inlineStr">
        <is>
          <t>Bharat Coking Coal Limited</t>
        </is>
      </c>
      <c r="M243" t="inlineStr">
        <is>
          <t>Jharkhand</t>
        </is>
      </c>
      <c r="N243" t="inlineStr">
        <is>
          <t>Dhanbad</t>
        </is>
      </c>
      <c r="O243" s="5" t="n">
        <v>45775</v>
      </c>
      <c r="P243" t="inlineStr">
        <is>
          <t>AOC</t>
        </is>
      </c>
      <c r="Q243" t="inlineStr">
        <is>
          <t>Satyam Infra</t>
        </is>
      </c>
      <c r="R243" t="inlineStr">
        <is>
          <t>G K Associates, Krishna Infrastructure</t>
        </is>
      </c>
      <c r="S243" t="inlineStr">
        <is>
          <t>5 named / 9</t>
        </is>
      </c>
      <c r="T243" t="n">
        <v>91.05</v>
      </c>
      <c r="U243" s="6">
        <f>IF(ISNUMBER(G243),MAX(MAX(G243,Settings!$B$13)*Settings!$B$7*Settings!$B$5,IF(ISNUMBER(Settings!$B$12),Settings!$B$12,0))*(1+IF(Settings!$B$11="Y",0,Settings!$B$10/100))+N(Settings!$B$9),"")</f>
        <v/>
      </c>
      <c r="W243" s="6">
        <f>IF(ISNUMBER(V243),IF(V243*Settings!$B$8&gt;1000,"beyond table",IFERROR(LOOKUP(V243*Settings!$B$8,'FOIS 145A'!$A$2:$A$22,'FOIS 145A'!$C$2:$C$22)*(1+IF(Settings!$B$11="Y",0,Settings!$B$10/100)),"")),"")</f>
        <v/>
      </c>
      <c r="X243" s="6">
        <f>IF(AND(ISNUMBER(U243),ISNUMBER(W243)),U243+W243,"")</f>
        <v/>
      </c>
      <c r="Y243">
        <f>Settings!$B$6</f>
        <v/>
      </c>
    </row>
    <row r="244">
      <c r="A244" t="inlineStr">
        <is>
          <t>No</t>
        </is>
      </c>
      <c r="B244" t="inlineStr">
        <is>
          <t>mine = coal company's tender in Jharkhand; named mine/plant is far</t>
        </is>
      </c>
      <c r="C244" t="inlineStr"/>
      <c r="E244" t="inlineStr"/>
      <c r="H244" t="inlineStr">
        <is>
          <t>13423974</t>
        </is>
      </c>
      <c r="I244" t="inlineStr">
        <is>
          <t>GEM/2025/B/6131940</t>
        </is>
      </c>
      <c r="J244" t="inlineStr">
        <is>
          <t>handling &amp; transport servi</t>
        </is>
      </c>
      <c r="K244" t="inlineStr">
        <is>
          <t>Coal transport (road)</t>
        </is>
      </c>
      <c r="L244" t="inlineStr">
        <is>
          <t>Bharat Coking Coal Limited</t>
        </is>
      </c>
      <c r="M244" t="inlineStr">
        <is>
          <t>Jharkhand</t>
        </is>
      </c>
      <c r="N244" t="inlineStr">
        <is>
          <t>Dhanbad</t>
        </is>
      </c>
      <c r="O244" s="5" t="n">
        <v>45775</v>
      </c>
      <c r="P244" t="inlineStr">
        <is>
          <t>AOC</t>
        </is>
      </c>
      <c r="Q244" t="inlineStr">
        <is>
          <t>Pragati Indian Road Lines</t>
        </is>
      </c>
      <c r="R244" t="inlineStr"/>
      <c r="S244" t="inlineStr">
        <is>
          <t>5 named / 11</t>
        </is>
      </c>
      <c r="T244" t="n">
        <v>96.52</v>
      </c>
      <c r="U244" s="6">
        <f>IF(ISNUMBER(G244),MAX(MAX(G244,Settings!$B$13)*Settings!$B$7*Settings!$B$5,IF(ISNUMBER(Settings!$B$12),Settings!$B$12,0))*(1+IF(Settings!$B$11="Y",0,Settings!$B$10/100))+N(Settings!$B$9),"")</f>
        <v/>
      </c>
      <c r="W244" s="6">
        <f>IF(ISNUMBER(V244),IF(V244*Settings!$B$8&gt;1000,"beyond table",IFERROR(LOOKUP(V244*Settings!$B$8,'FOIS 145A'!$A$2:$A$22,'FOIS 145A'!$C$2:$C$22)*(1+IF(Settings!$B$11="Y",0,Settings!$B$10/100)),"")),"")</f>
        <v/>
      </c>
      <c r="X244" s="6">
        <f>IF(AND(ISNUMBER(U244),ISNUMBER(W244)),U244+W244,"")</f>
        <v/>
      </c>
      <c r="Y244">
        <f>Settings!$B$6</f>
        <v/>
      </c>
    </row>
    <row r="245">
      <c r="A245" t="inlineStr">
        <is>
          <t>No</t>
        </is>
      </c>
      <c r="B245" t="inlineStr">
        <is>
          <t>mine = coal company's tender in Madhya Pradesh; named mine/plant is far</t>
        </is>
      </c>
      <c r="C245" t="inlineStr"/>
      <c r="E245" t="inlineStr"/>
      <c r="H245" t="inlineStr">
        <is>
          <t>13331475</t>
        </is>
      </c>
      <c r="I245" t="inlineStr">
        <is>
          <t>GEM/2025/B/6087018</t>
        </is>
      </c>
      <c r="J245" t="inlineStr">
        <is>
          <t>loading and transportation</t>
        </is>
      </c>
      <c r="K245" t="inlineStr">
        <is>
          <t>Coal transport (road)</t>
        </is>
      </c>
      <c r="L245" t="inlineStr">
        <is>
          <t>South Eastern Coalfields Limited</t>
        </is>
      </c>
      <c r="M245" t="inlineStr">
        <is>
          <t>Madhya Pradesh</t>
        </is>
      </c>
      <c r="N245" t="inlineStr">
        <is>
          <t>Anuppur</t>
        </is>
      </c>
      <c r="O245" s="5" t="n">
        <v>45768</v>
      </c>
      <c r="P245" t="inlineStr">
        <is>
          <t>AOC</t>
        </is>
      </c>
      <c r="Q245" t="inlineStr">
        <is>
          <t>Vikhyat Raj Logistics Vrl</t>
        </is>
      </c>
      <c r="R245" t="inlineStr">
        <is>
          <t>G K Associates</t>
        </is>
      </c>
      <c r="S245" t="inlineStr">
        <is>
          <t>5 named / 16</t>
        </is>
      </c>
      <c r="T245" t="n">
        <v>16.73</v>
      </c>
      <c r="U245" s="6">
        <f>IF(ISNUMBER(G245),MAX(MAX(G245,Settings!$B$13)*Settings!$B$7*Settings!$B$5,IF(ISNUMBER(Settings!$B$12),Settings!$B$12,0))*(1+IF(Settings!$B$11="Y",0,Settings!$B$10/100))+N(Settings!$B$9),"")</f>
        <v/>
      </c>
      <c r="W245" s="6">
        <f>IF(ISNUMBER(V245),IF(V245*Settings!$B$8&gt;1000,"beyond table",IFERROR(LOOKUP(V245*Settings!$B$8,'FOIS 145A'!$A$2:$A$22,'FOIS 145A'!$C$2:$C$22)*(1+IF(Settings!$B$11="Y",0,Settings!$B$10/100)),"")),"")</f>
        <v/>
      </c>
      <c r="X245" s="6">
        <f>IF(AND(ISNUMBER(U245),ISNUMBER(W245)),U245+W245,"")</f>
        <v/>
      </c>
      <c r="Y245">
        <f>Settings!$B$6</f>
        <v/>
      </c>
    </row>
    <row r="246">
      <c r="A246" t="inlineStr">
        <is>
          <t>No</t>
        </is>
      </c>
      <c r="B246" t="inlineStr">
        <is>
          <t>mine = coal company's tender in Madhya Pradesh; named mine/plant is far</t>
        </is>
      </c>
      <c r="C246" t="inlineStr"/>
      <c r="E246" t="inlineStr"/>
      <c r="H246" t="inlineStr">
        <is>
          <t>13277734</t>
        </is>
      </c>
      <c r="I246" t="inlineStr">
        <is>
          <t>GEM/2025/B/6094341</t>
        </is>
      </c>
      <c r="J246" t="inlineStr">
        <is>
          <t>loading and transportation</t>
        </is>
      </c>
      <c r="K246" t="inlineStr">
        <is>
          <t>Coal transport (road)</t>
        </is>
      </c>
      <c r="L246" t="inlineStr">
        <is>
          <t>South Eastern Coalfields Limited</t>
        </is>
      </c>
      <c r="M246" t="inlineStr">
        <is>
          <t>Madhya Pradesh</t>
        </is>
      </c>
      <c r="N246" t="inlineStr">
        <is>
          <t>Anuppur</t>
        </is>
      </c>
      <c r="O246" s="5" t="n">
        <v>45762</v>
      </c>
      <c r="P246" t="inlineStr">
        <is>
          <t>AOC</t>
        </is>
      </c>
      <c r="Q246" t="inlineStr">
        <is>
          <t>Vikhyat Raj Logistics Vrl</t>
        </is>
      </c>
      <c r="R246" t="inlineStr">
        <is>
          <t>G K Associates</t>
        </is>
      </c>
      <c r="S246" t="inlineStr">
        <is>
          <t>5 named / 15</t>
        </is>
      </c>
      <c r="T246" t="n">
        <v>9.93</v>
      </c>
      <c r="U246" s="6">
        <f>IF(ISNUMBER(G246),MAX(MAX(G246,Settings!$B$13)*Settings!$B$7*Settings!$B$5,IF(ISNUMBER(Settings!$B$12),Settings!$B$12,0))*(1+IF(Settings!$B$11="Y",0,Settings!$B$10/100))+N(Settings!$B$9),"")</f>
        <v/>
      </c>
      <c r="W246" s="6">
        <f>IF(ISNUMBER(V246),IF(V246*Settings!$B$8&gt;1000,"beyond table",IFERROR(LOOKUP(V246*Settings!$B$8,'FOIS 145A'!$A$2:$A$22,'FOIS 145A'!$C$2:$C$22)*(1+IF(Settings!$B$11="Y",0,Settings!$B$10/100)),"")),"")</f>
        <v/>
      </c>
      <c r="X246" s="6">
        <f>IF(AND(ISNUMBER(U246),ISNUMBER(W246)),U246+W246,"")</f>
        <v/>
      </c>
      <c r="Y246">
        <f>Settings!$B$6</f>
        <v/>
      </c>
    </row>
    <row r="247">
      <c r="A247" t="inlineStr">
        <is>
          <t>No</t>
        </is>
      </c>
      <c r="B247" t="inlineStr">
        <is>
          <t>mine = coal company's tender in Jharkhand; named mine/plant is far</t>
        </is>
      </c>
      <c r="C247" t="inlineStr"/>
      <c r="E247" t="inlineStr"/>
      <c r="H247" t="inlineStr">
        <is>
          <t>13163111</t>
        </is>
      </c>
      <c r="I247" t="inlineStr">
        <is>
          <t>GEM/2025/B/6065386</t>
        </is>
      </c>
      <c r="J247" t="inlineStr">
        <is>
          <t>handling &amp; transport servi</t>
        </is>
      </c>
      <c r="K247" t="inlineStr">
        <is>
          <t>Coal transport (road)</t>
        </is>
      </c>
      <c r="L247" t="inlineStr">
        <is>
          <t>Central Coalfields Limited</t>
        </is>
      </c>
      <c r="M247" t="inlineStr">
        <is>
          <t>Jharkhand</t>
        </is>
      </c>
      <c r="N247" t="inlineStr">
        <is>
          <t>Bokaro</t>
        </is>
      </c>
      <c r="O247" s="5" t="n">
        <v>45748</v>
      </c>
      <c r="P247" t="inlineStr">
        <is>
          <t>AOC</t>
        </is>
      </c>
      <c r="Q247" t="inlineStr">
        <is>
          <t>Variant Commercial Private Limited</t>
        </is>
      </c>
      <c r="R247" t="inlineStr"/>
      <c r="S247" t="inlineStr">
        <is>
          <t>3 named / 3</t>
        </is>
      </c>
      <c r="T247" t="n">
        <v>0.16</v>
      </c>
      <c r="U247" s="6">
        <f>IF(ISNUMBER(G247),MAX(MAX(G247,Settings!$B$13)*Settings!$B$7*Settings!$B$5,IF(ISNUMBER(Settings!$B$12),Settings!$B$12,0))*(1+IF(Settings!$B$11="Y",0,Settings!$B$10/100))+N(Settings!$B$9),"")</f>
        <v/>
      </c>
      <c r="W247" s="6">
        <f>IF(ISNUMBER(V247),IF(V247*Settings!$B$8&gt;1000,"beyond table",IFERROR(LOOKUP(V247*Settings!$B$8,'FOIS 145A'!$A$2:$A$22,'FOIS 145A'!$C$2:$C$22)*(1+IF(Settings!$B$11="Y",0,Settings!$B$10/100)),"")),"")</f>
        <v/>
      </c>
      <c r="X247" s="6">
        <f>IF(AND(ISNUMBER(U247),ISNUMBER(W247)),U247+W247,"")</f>
        <v/>
      </c>
      <c r="Y247">
        <f>Settings!$B$6</f>
        <v/>
      </c>
    </row>
    <row r="248">
      <c r="A248" t="inlineStr">
        <is>
          <t>No</t>
        </is>
      </c>
      <c r="B248" t="inlineStr">
        <is>
          <t>mine = coal company's tender in Jharkhand; named mine/plant is far</t>
        </is>
      </c>
      <c r="C248" t="inlineStr"/>
      <c r="E248" t="inlineStr"/>
      <c r="H248" t="inlineStr">
        <is>
          <t>13079623</t>
        </is>
      </c>
      <c r="I248" t="inlineStr">
        <is>
          <t>GEM/2025/B/6031601</t>
        </is>
      </c>
      <c r="J248" t="inlineStr">
        <is>
          <t>handling &amp; transport servi</t>
        </is>
      </c>
      <c r="K248" t="inlineStr">
        <is>
          <t>Coal transport (road)</t>
        </is>
      </c>
      <c r="L248" t="inlineStr">
        <is>
          <t>Central Coalfields Limited</t>
        </is>
      </c>
      <c r="M248" t="inlineStr">
        <is>
          <t>Jharkhand</t>
        </is>
      </c>
      <c r="N248" t="inlineStr">
        <is>
          <t>Ramgarh</t>
        </is>
      </c>
      <c r="O248" s="5" t="n">
        <v>45737</v>
      </c>
      <c r="P248" t="inlineStr">
        <is>
          <t>AOC</t>
        </is>
      </c>
      <c r="Q248" t="inlineStr">
        <is>
          <t>Fairdeal Projects Private Limited</t>
        </is>
      </c>
      <c r="R248" t="inlineStr"/>
      <c r="S248" t="inlineStr">
        <is>
          <t>5 named / 7</t>
        </is>
      </c>
      <c r="T248" t="n">
        <v>36.7</v>
      </c>
      <c r="U248" s="6">
        <f>IF(ISNUMBER(G248),MAX(MAX(G248,Settings!$B$13)*Settings!$B$7*Settings!$B$5,IF(ISNUMBER(Settings!$B$12),Settings!$B$12,0))*(1+IF(Settings!$B$11="Y",0,Settings!$B$10/100))+N(Settings!$B$9),"")</f>
        <v/>
      </c>
      <c r="W248" s="6">
        <f>IF(ISNUMBER(V248),IF(V248*Settings!$B$8&gt;1000,"beyond table",IFERROR(LOOKUP(V248*Settings!$B$8,'FOIS 145A'!$A$2:$A$22,'FOIS 145A'!$C$2:$C$22)*(1+IF(Settings!$B$11="Y",0,Settings!$B$10/100)),"")),"")</f>
        <v/>
      </c>
      <c r="X248" s="6">
        <f>IF(AND(ISNUMBER(U248),ISNUMBER(W248)),U248+W248,"")</f>
        <v/>
      </c>
      <c r="Y248">
        <f>Settings!$B$6</f>
        <v/>
      </c>
    </row>
    <row r="249">
      <c r="A249" t="inlineStr">
        <is>
          <t>No</t>
        </is>
      </c>
      <c r="B249" t="inlineStr">
        <is>
          <t>mine = coal company's tender in Madhya Pradesh; named mine/plant is far</t>
        </is>
      </c>
      <c r="C249" t="inlineStr"/>
      <c r="E249" t="inlineStr"/>
      <c r="H249" t="inlineStr">
        <is>
          <t>12978901</t>
        </is>
      </c>
      <c r="I249" t="inlineStr">
        <is>
          <t>GEM/2025/B/5953424</t>
        </is>
      </c>
      <c r="J249" t="inlineStr">
        <is>
          <t>handling &amp; transport servi</t>
        </is>
      </c>
      <c r="K249" t="inlineStr">
        <is>
          <t>Coal transport (road)</t>
        </is>
      </c>
      <c r="L249" t="inlineStr">
        <is>
          <t>Northern Coalfields Limited</t>
        </is>
      </c>
      <c r="M249" t="inlineStr">
        <is>
          <t>Madhya Pradesh</t>
        </is>
      </c>
      <c r="N249" t="inlineStr">
        <is>
          <t>Singrauli</t>
        </is>
      </c>
      <c r="O249" s="5" t="n">
        <v>45726</v>
      </c>
      <c r="P249" t="inlineStr">
        <is>
          <t>AOC</t>
        </is>
      </c>
      <c r="Q249" t="inlineStr">
        <is>
          <t>Harsh Roadlines Private Limited</t>
        </is>
      </c>
      <c r="R249" t="inlineStr">
        <is>
          <t>G K Associates</t>
        </is>
      </c>
      <c r="S249" t="inlineStr">
        <is>
          <t>5 named / 15</t>
        </is>
      </c>
      <c r="T249" t="n">
        <v>76.52</v>
      </c>
      <c r="U249" s="6">
        <f>IF(ISNUMBER(G249),MAX(MAX(G249,Settings!$B$13)*Settings!$B$7*Settings!$B$5,IF(ISNUMBER(Settings!$B$12),Settings!$B$12,0))*(1+IF(Settings!$B$11="Y",0,Settings!$B$10/100))+N(Settings!$B$9),"")</f>
        <v/>
      </c>
      <c r="W249" s="6">
        <f>IF(ISNUMBER(V249),IF(V249*Settings!$B$8&gt;1000,"beyond table",IFERROR(LOOKUP(V249*Settings!$B$8,'FOIS 145A'!$A$2:$A$22,'FOIS 145A'!$C$2:$C$22)*(1+IF(Settings!$B$11="Y",0,Settings!$B$10/100)),"")),"")</f>
        <v/>
      </c>
      <c r="X249" s="6">
        <f>IF(AND(ISNUMBER(U249),ISNUMBER(W249)),U249+W249,"")</f>
        <v/>
      </c>
      <c r="Y249">
        <f>Settings!$B$6</f>
        <v/>
      </c>
    </row>
    <row r="250">
      <c r="A250" t="inlineStr">
        <is>
          <t>No</t>
        </is>
      </c>
      <c r="B250" t="inlineStr">
        <is>
          <t>plant = tender city in Madhya Pradesh; named mine/plant is far</t>
        </is>
      </c>
      <c r="C250" t="inlineStr"/>
      <c r="E250" t="inlineStr"/>
      <c r="H250" t="inlineStr">
        <is>
          <t>13186124</t>
        </is>
      </c>
      <c r="I250" t="inlineStr">
        <is>
          <t>2025_MPPGC_395740_1</t>
        </is>
      </c>
      <c r="J250" t="inlineStr">
        <is>
          <t>transportation with loading of coal from neharia ug of pench area mine of m/s wcl to stps, sarni by contractor in completely covered and sealed tippers/trucks and unloading the coal in coal yard at mp</t>
        </is>
      </c>
      <c r="K250" t="inlineStr">
        <is>
          <t>Coal transport (road)</t>
        </is>
      </c>
      <c r="L250" t="inlineStr">
        <is>
          <t>Madhya Pradesh Power Generating Company Limited</t>
        </is>
      </c>
      <c r="M250" t="inlineStr">
        <is>
          <t>Madhya Pradesh</t>
        </is>
      </c>
      <c r="N250" t="inlineStr">
        <is>
          <t>Sarni</t>
        </is>
      </c>
      <c r="O250" s="5" t="n">
        <v>45722</v>
      </c>
      <c r="P250" t="inlineStr">
        <is>
          <t>AOC</t>
        </is>
      </c>
      <c r="Q250" t="inlineStr">
        <is>
          <t>Avaneesh Logistics Private Limited, B And B Group, Imperial Trucking</t>
        </is>
      </c>
      <c r="R250" t="inlineStr"/>
      <c r="S250" t="inlineStr">
        <is>
          <t>5 named / 6</t>
        </is>
      </c>
      <c r="T250" t="n">
        <v>8.970000000000001</v>
      </c>
      <c r="U250" s="6">
        <f>IF(ISNUMBER(G250),MAX(MAX(G250,Settings!$B$13)*Settings!$B$7*Settings!$B$5,IF(ISNUMBER(Settings!$B$12),Settings!$B$12,0))*(1+IF(Settings!$B$11="Y",0,Settings!$B$10/100))+N(Settings!$B$9),"")</f>
        <v/>
      </c>
      <c r="W250" s="6">
        <f>IF(ISNUMBER(V250),IF(V250*Settings!$B$8&gt;1000,"beyond table",IFERROR(LOOKUP(V250*Settings!$B$8,'FOIS 145A'!$A$2:$A$22,'FOIS 145A'!$C$2:$C$22)*(1+IF(Settings!$B$11="Y",0,Settings!$B$10/100)),"")),"")</f>
        <v/>
      </c>
      <c r="X250" s="6">
        <f>IF(AND(ISNUMBER(U250),ISNUMBER(W250)),U250+W250,"")</f>
        <v/>
      </c>
      <c r="Y250">
        <f>Settings!$B$6</f>
        <v/>
      </c>
    </row>
    <row r="251">
      <c r="A251" t="inlineStr">
        <is>
          <t>No</t>
        </is>
      </c>
      <c r="B251" t="inlineStr">
        <is>
          <t>plant = tender city in Jharkhand; named mine/plant is far</t>
        </is>
      </c>
      <c r="C251" t="inlineStr"/>
      <c r="E251" t="inlineStr"/>
      <c r="H251" t="inlineStr">
        <is>
          <t>13439977</t>
        </is>
      </c>
      <c r="I251" t="inlineStr">
        <is>
          <t>GEM/2025/B/5892212</t>
        </is>
      </c>
      <c r="J251" t="inlineStr">
        <is>
          <t>loading and transportation of coal from ntpc kerandari and chatti bariatu</t>
        </is>
      </c>
      <c r="K251" t="inlineStr">
        <is>
          <t>Coal transport (road)</t>
        </is>
      </c>
      <c r="L251" t="inlineStr">
        <is>
          <t>National Thermal Power Corporation Limited</t>
        </is>
      </c>
      <c r="M251" t="inlineStr">
        <is>
          <t>Jharkhand</t>
        </is>
      </c>
      <c r="N251" t="inlineStr">
        <is>
          <t>Hazaribagh</t>
        </is>
      </c>
      <c r="O251" s="5" t="n">
        <v>45709</v>
      </c>
      <c r="P251" t="inlineStr">
        <is>
          <t>AOC</t>
        </is>
      </c>
      <c r="Q251" t="inlineStr">
        <is>
          <t>Jai Ambey Roadlines Private Limited</t>
        </is>
      </c>
      <c r="R251" t="inlineStr">
        <is>
          <t>Godavari Commodities</t>
        </is>
      </c>
      <c r="S251" t="inlineStr">
        <is>
          <t>5 named / 7</t>
        </is>
      </c>
      <c r="T251" t="n">
        <v>889.9</v>
      </c>
      <c r="U251" s="6">
        <f>IF(ISNUMBER(G251),MAX(MAX(G251,Settings!$B$13)*Settings!$B$7*Settings!$B$5,IF(ISNUMBER(Settings!$B$12),Settings!$B$12,0))*(1+IF(Settings!$B$11="Y",0,Settings!$B$10/100))+N(Settings!$B$9),"")</f>
        <v/>
      </c>
      <c r="W251" s="6">
        <f>IF(ISNUMBER(V251),IF(V251*Settings!$B$8&gt;1000,"beyond table",IFERROR(LOOKUP(V251*Settings!$B$8,'FOIS 145A'!$A$2:$A$22,'FOIS 145A'!$C$2:$C$22)*(1+IF(Settings!$B$11="Y",0,Settings!$B$10/100)),"")),"")</f>
        <v/>
      </c>
      <c r="X251" s="6">
        <f>IF(AND(ISNUMBER(U251),ISNUMBER(W251)),U251+W251,"")</f>
        <v/>
      </c>
      <c r="Y251">
        <f>Settings!$B$6</f>
        <v/>
      </c>
    </row>
    <row r="252">
      <c r="A252" t="inlineStr">
        <is>
          <t>No</t>
        </is>
      </c>
      <c r="B252" t="inlineStr">
        <is>
          <t>mine = coal company's tender in Jharkhand; named mine/plant is far</t>
        </is>
      </c>
      <c r="C252" t="inlineStr"/>
      <c r="E252" t="inlineStr"/>
      <c r="H252" t="inlineStr">
        <is>
          <t>12537380</t>
        </is>
      </c>
      <c r="I252" t="inlineStr">
        <is>
          <t>GEM/2025/B/5829853</t>
        </is>
      </c>
      <c r="J252" t="inlineStr">
        <is>
          <t>handling &amp; transport servi</t>
        </is>
      </c>
      <c r="K252" t="inlineStr">
        <is>
          <t>Coal transport (road)</t>
        </is>
      </c>
      <c r="L252" t="inlineStr">
        <is>
          <t>Central Coalfields Limited</t>
        </is>
      </c>
      <c r="M252" t="inlineStr">
        <is>
          <t>Jharkhand</t>
        </is>
      </c>
      <c r="N252" t="inlineStr">
        <is>
          <t>Ramgarh</t>
        </is>
      </c>
      <c r="O252" s="5" t="n">
        <v>45688</v>
      </c>
      <c r="P252" t="inlineStr">
        <is>
          <t>AOC</t>
        </is>
      </c>
      <c r="Q252" t="inlineStr">
        <is>
          <t>Fairdeal Projects Private Limited</t>
        </is>
      </c>
      <c r="R252" t="inlineStr"/>
      <c r="S252" t="inlineStr">
        <is>
          <t>5 named / 7</t>
        </is>
      </c>
      <c r="T252" t="n">
        <v>14.19</v>
      </c>
      <c r="U252" s="6">
        <f>IF(ISNUMBER(G252),MAX(MAX(G252,Settings!$B$13)*Settings!$B$7*Settings!$B$5,IF(ISNUMBER(Settings!$B$12),Settings!$B$12,0))*(1+IF(Settings!$B$11="Y",0,Settings!$B$10/100))+N(Settings!$B$9),"")</f>
        <v/>
      </c>
      <c r="W252" s="6">
        <f>IF(ISNUMBER(V252),IF(V252*Settings!$B$8&gt;1000,"beyond table",IFERROR(LOOKUP(V252*Settings!$B$8,'FOIS 145A'!$A$2:$A$22,'FOIS 145A'!$C$2:$C$22)*(1+IF(Settings!$B$11="Y",0,Settings!$B$10/100)),"")),"")</f>
        <v/>
      </c>
      <c r="X252" s="6">
        <f>IF(AND(ISNUMBER(U252),ISNUMBER(W252)),U252+W252,"")</f>
        <v/>
      </c>
      <c r="Y252">
        <f>Settings!$B$6</f>
        <v/>
      </c>
    </row>
    <row r="253">
      <c r="A253" t="inlineStr">
        <is>
          <t>No</t>
        </is>
      </c>
      <c r="B253" t="inlineStr">
        <is>
          <t>mine = coal company's tender in Maharashtra; named mine/plant is far</t>
        </is>
      </c>
      <c r="C253" t="inlineStr"/>
      <c r="E253" t="inlineStr"/>
      <c r="H253" t="inlineStr">
        <is>
          <t>12512789</t>
        </is>
      </c>
      <c r="I253" t="inlineStr">
        <is>
          <t>GEM/2025/B/5807637</t>
        </is>
      </c>
      <c r="J253" t="inlineStr">
        <is>
          <t>handling &amp; transport servi</t>
        </is>
      </c>
      <c r="K253" t="inlineStr">
        <is>
          <t>Coal transport (road)</t>
        </is>
      </c>
      <c r="L253" t="inlineStr">
        <is>
          <t>Western Coalfields Limited</t>
        </is>
      </c>
      <c r="M253" t="inlineStr">
        <is>
          <t>Maharashtra</t>
        </is>
      </c>
      <c r="N253" t="inlineStr">
        <is>
          <t>Chandrapur</t>
        </is>
      </c>
      <c r="O253" s="5" t="n">
        <v>45684</v>
      </c>
      <c r="P253" t="inlineStr">
        <is>
          <t>AOC</t>
        </is>
      </c>
      <c r="Q253" t="inlineStr">
        <is>
          <t>A R Construction</t>
        </is>
      </c>
      <c r="R253" t="inlineStr">
        <is>
          <t>Saikrupa Coal Supplier</t>
        </is>
      </c>
      <c r="S253" t="inlineStr">
        <is>
          <t>5 named / 7</t>
        </is>
      </c>
      <c r="T253" t="n">
        <v>59.85</v>
      </c>
      <c r="U253" s="6">
        <f>IF(ISNUMBER(G253),MAX(MAX(G253,Settings!$B$13)*Settings!$B$7*Settings!$B$5,IF(ISNUMBER(Settings!$B$12),Settings!$B$12,0))*(1+IF(Settings!$B$11="Y",0,Settings!$B$10/100))+N(Settings!$B$9),"")</f>
        <v/>
      </c>
      <c r="W253" s="6">
        <f>IF(ISNUMBER(V253),IF(V253*Settings!$B$8&gt;1000,"beyond table",IFERROR(LOOKUP(V253*Settings!$B$8,'FOIS 145A'!$A$2:$A$22,'FOIS 145A'!$C$2:$C$22)*(1+IF(Settings!$B$11="Y",0,Settings!$B$10/100)),"")),"")</f>
        <v/>
      </c>
      <c r="X253" s="6">
        <f>IF(AND(ISNUMBER(U253),ISNUMBER(W253)),U253+W253,"")</f>
        <v/>
      </c>
      <c r="Y253">
        <f>Settings!$B$6</f>
        <v/>
      </c>
    </row>
    <row r="254">
      <c r="A254" t="inlineStr">
        <is>
          <t>No</t>
        </is>
      </c>
      <c r="B254" t="inlineStr">
        <is>
          <t>plant = tender city in Madhya Pradesh; named mine/plant is far</t>
        </is>
      </c>
      <c r="C254" t="inlineStr"/>
      <c r="E254" t="inlineStr"/>
      <c r="H254" t="inlineStr">
        <is>
          <t>13149327</t>
        </is>
      </c>
      <c r="I254" t="inlineStr">
        <is>
          <t>2024_MPPGC_381839_1</t>
        </is>
      </c>
      <c r="J254" t="inlineStr">
        <is>
          <t>transportation with loading of coal from ground/ chute of dhankasa ug of pench area mine of m/s wcl to stps, sarni by contractor in completely covered and sealed tippers/ trucks and unloading the coal</t>
        </is>
      </c>
      <c r="K254" t="inlineStr">
        <is>
          <t>Coal transport (road)</t>
        </is>
      </c>
      <c r="L254" t="inlineStr">
        <is>
          <t>Madhya Pradesh Power Generating Company Limited</t>
        </is>
      </c>
      <c r="M254" t="inlineStr">
        <is>
          <t>Madhya Pradesh</t>
        </is>
      </c>
      <c r="N254" t="inlineStr">
        <is>
          <t>Betul</t>
        </is>
      </c>
      <c r="O254" s="5" t="n">
        <v>45684</v>
      </c>
      <c r="P254" t="inlineStr">
        <is>
          <t>Financial</t>
        </is>
      </c>
      <c r="Q254" t="inlineStr">
        <is>
          <t>-</t>
        </is>
      </c>
      <c r="R254" t="inlineStr"/>
      <c r="S254" t="inlineStr">
        <is>
          <t>5 named / 8</t>
        </is>
      </c>
      <c r="U254" s="6">
        <f>IF(ISNUMBER(G254),MAX(MAX(G254,Settings!$B$13)*Settings!$B$7*Settings!$B$5,IF(ISNUMBER(Settings!$B$12),Settings!$B$12,0))*(1+IF(Settings!$B$11="Y",0,Settings!$B$10/100))+N(Settings!$B$9),"")</f>
        <v/>
      </c>
      <c r="W254" s="6">
        <f>IF(ISNUMBER(V254),IF(V254*Settings!$B$8&gt;1000,"beyond table",IFERROR(LOOKUP(V254*Settings!$B$8,'FOIS 145A'!$A$2:$A$22,'FOIS 145A'!$C$2:$C$22)*(1+IF(Settings!$B$11="Y",0,Settings!$B$10/100)),"")),"")</f>
        <v/>
      </c>
      <c r="X254" s="6">
        <f>IF(AND(ISNUMBER(U254),ISNUMBER(W254)),U254+W254,"")</f>
        <v/>
      </c>
      <c r="Y254">
        <f>Settings!$B$6</f>
        <v/>
      </c>
    </row>
    <row r="255">
      <c r="A255" t="inlineStr">
        <is>
          <t>No</t>
        </is>
      </c>
      <c r="B255" t="inlineStr">
        <is>
          <t>plant = tender city in Madhya Pradesh; named mine/plant is far</t>
        </is>
      </c>
      <c r="C255" t="inlineStr"/>
      <c r="E255" t="inlineStr"/>
      <c r="H255" t="inlineStr">
        <is>
          <t>12915249</t>
        </is>
      </c>
      <c r="I255" t="inlineStr">
        <is>
          <t>2024_MPPGC_389690_1</t>
        </is>
      </c>
      <c r="J255" t="inlineStr">
        <is>
          <t>transportation with loading of coal from urdhan ocm of pench area of m/s wcl to stps, sarni by contractor in completely covered and sealed tippers/trucks and unloading the coal in coal yard at mppgcl,</t>
        </is>
      </c>
      <c r="K255" t="inlineStr">
        <is>
          <t>Coal transport (road)</t>
        </is>
      </c>
      <c r="L255" t="inlineStr">
        <is>
          <t>Madhya Pradesh Power Generating Company Limited</t>
        </is>
      </c>
      <c r="M255" t="inlineStr">
        <is>
          <t>Madhya Pradesh</t>
        </is>
      </c>
      <c r="N255" t="inlineStr">
        <is>
          <t>Betul</t>
        </is>
      </c>
      <c r="O255" s="5" t="n">
        <v>45680</v>
      </c>
      <c r="P255" t="inlineStr">
        <is>
          <t>AOC</t>
        </is>
      </c>
      <c r="Q255" t="inlineStr">
        <is>
          <t>Avaneesh Logistics Private Limited, Imperial Trucking, Saluja Transport Company</t>
        </is>
      </c>
      <c r="R255" t="inlineStr"/>
      <c r="S255" t="inlineStr">
        <is>
          <t>5 named / 5</t>
        </is>
      </c>
      <c r="T255" t="n">
        <v>18.66</v>
      </c>
      <c r="U255" s="6">
        <f>IF(ISNUMBER(G255),MAX(MAX(G255,Settings!$B$13)*Settings!$B$7*Settings!$B$5,IF(ISNUMBER(Settings!$B$12),Settings!$B$12,0))*(1+IF(Settings!$B$11="Y",0,Settings!$B$10/100))+N(Settings!$B$9),"")</f>
        <v/>
      </c>
      <c r="W255" s="6">
        <f>IF(ISNUMBER(V255),IF(V255*Settings!$B$8&gt;1000,"beyond table",IFERROR(LOOKUP(V255*Settings!$B$8,'FOIS 145A'!$A$2:$A$22,'FOIS 145A'!$C$2:$C$22)*(1+IF(Settings!$B$11="Y",0,Settings!$B$10/100)),"")),"")</f>
        <v/>
      </c>
      <c r="X255" s="6">
        <f>IF(AND(ISNUMBER(U255),ISNUMBER(W255)),U255+W255,"")</f>
        <v/>
      </c>
      <c r="Y255">
        <f>Settings!$B$6</f>
        <v/>
      </c>
    </row>
    <row r="256">
      <c r="A256" t="inlineStr">
        <is>
          <t>No</t>
        </is>
      </c>
      <c r="B256" t="inlineStr">
        <is>
          <t>mine = coal company's tender in Jharkhand; named mine/plant is far</t>
        </is>
      </c>
      <c r="C256" t="inlineStr"/>
      <c r="E256" t="inlineStr"/>
      <c r="H256" t="inlineStr">
        <is>
          <t>12359346</t>
        </is>
      </c>
      <c r="I256" t="inlineStr">
        <is>
          <t>GEM/2024/B/5707396</t>
        </is>
      </c>
      <c r="J256" t="inlineStr">
        <is>
          <t>handling &amp; transport servi</t>
        </is>
      </c>
      <c r="K256" t="inlineStr">
        <is>
          <t>Coal transport (road)</t>
        </is>
      </c>
      <c r="L256" t="inlineStr">
        <is>
          <t>Bharat Coking Coal Limited</t>
        </is>
      </c>
      <c r="M256" t="inlineStr">
        <is>
          <t>Jharkhand</t>
        </is>
      </c>
      <c r="N256" t="inlineStr">
        <is>
          <t>Dhanbad</t>
        </is>
      </c>
      <c r="O256" s="5" t="n">
        <v>45666</v>
      </c>
      <c r="P256" t="inlineStr">
        <is>
          <t>AOC</t>
        </is>
      </c>
      <c r="Q256" t="inlineStr">
        <is>
          <t>Tbepl- Nsipl Jv</t>
        </is>
      </c>
      <c r="R256" t="inlineStr">
        <is>
          <t>G K Associates, Krishna Infrastructure</t>
        </is>
      </c>
      <c r="S256" t="inlineStr">
        <is>
          <t>5 named / 15</t>
        </is>
      </c>
      <c r="T256" t="n">
        <v>849.25</v>
      </c>
      <c r="U256" s="6">
        <f>IF(ISNUMBER(G256),MAX(MAX(G256,Settings!$B$13)*Settings!$B$7*Settings!$B$5,IF(ISNUMBER(Settings!$B$12),Settings!$B$12,0))*(1+IF(Settings!$B$11="Y",0,Settings!$B$10/100))+N(Settings!$B$9),"")</f>
        <v/>
      </c>
      <c r="W256" s="6">
        <f>IF(ISNUMBER(V256),IF(V256*Settings!$B$8&gt;1000,"beyond table",IFERROR(LOOKUP(V256*Settings!$B$8,'FOIS 145A'!$A$2:$A$22,'FOIS 145A'!$C$2:$C$22)*(1+IF(Settings!$B$11="Y",0,Settings!$B$10/100)),"")),"")</f>
        <v/>
      </c>
      <c r="X256" s="6">
        <f>IF(AND(ISNUMBER(U256),ISNUMBER(W256)),U256+W256,"")</f>
        <v/>
      </c>
      <c r="Y256">
        <f>Settings!$B$6</f>
        <v/>
      </c>
    </row>
    <row r="257">
      <c r="A257" t="inlineStr">
        <is>
          <t>No</t>
        </is>
      </c>
      <c r="B257" t="inlineStr">
        <is>
          <t>named mine/plant is far</t>
        </is>
      </c>
      <c r="C257" t="inlineStr"/>
      <c r="E257" t="inlineStr"/>
      <c r="H257" t="inlineStr">
        <is>
          <t>18224464</t>
        </is>
      </c>
      <c r="I257" t="inlineStr">
        <is>
          <t>GEM/2026/B/7841110</t>
        </is>
      </c>
      <c r="J257" t="inlineStr">
        <is>
          <t>handling service, loading of coal into wagons at ghugus old and new railway sidings, ghugus sub area, wani area</t>
        </is>
      </c>
      <c r="K257" t="inlineStr">
        <is>
          <t>Loading / handling / crushing</t>
        </is>
      </c>
      <c r="L257" t="inlineStr">
        <is>
          <t>Western Coalfields Limited</t>
        </is>
      </c>
      <c r="M257" t="inlineStr">
        <is>
          <t>Maharashtra</t>
        </is>
      </c>
      <c r="N257" t="inlineStr">
        <is>
          <t>Chandrapur</t>
        </is>
      </c>
      <c r="O257" s="5" t="n">
        <v>46245</v>
      </c>
      <c r="P257" t="inlineStr">
        <is>
          <t>AOC</t>
        </is>
      </c>
      <c r="Q257" t="inlineStr">
        <is>
          <t>Hindustan Trade Overseas Private Limited</t>
        </is>
      </c>
      <c r="R257" t="inlineStr"/>
      <c r="S257" t="inlineStr">
        <is>
          <t>5 named / 14</t>
        </is>
      </c>
      <c r="T257" t="n">
        <v>31</v>
      </c>
      <c r="U257" s="6">
        <f>IF(ISNUMBER(G257),MAX(MAX(G257,Settings!$B$13)*Settings!$B$7*Settings!$B$5,IF(ISNUMBER(Settings!$B$12),Settings!$B$12,0))*(1+IF(Settings!$B$11="Y",0,Settings!$B$10/100))+N(Settings!$B$9),"")</f>
        <v/>
      </c>
      <c r="W257" s="6">
        <f>IF(ISNUMBER(V257),IF(V257*Settings!$B$8&gt;1000,"beyond table",IFERROR(LOOKUP(V257*Settings!$B$8,'FOIS 145A'!$A$2:$A$22,'FOIS 145A'!$C$2:$C$22)*(1+IF(Settings!$B$11="Y",0,Settings!$B$10/100)),"")),"")</f>
        <v/>
      </c>
      <c r="X257" s="6">
        <f>IF(AND(ISNUMBER(U257),ISNUMBER(W257)),U257+W257,"")</f>
        <v/>
      </c>
      <c r="Y257">
        <f>Settings!$B$6</f>
        <v/>
      </c>
    </row>
    <row r="258">
      <c r="A258" t="inlineStr">
        <is>
          <t>No</t>
        </is>
      </c>
      <c r="B258" t="inlineStr">
        <is>
          <t>mine = coal company's tender in Jharkhand; named mine/plant is far</t>
        </is>
      </c>
      <c r="C258" t="inlineStr"/>
      <c r="E258" t="inlineStr"/>
      <c r="H258" t="inlineStr">
        <is>
          <t>17866039</t>
        </is>
      </c>
      <c r="I258" t="inlineStr">
        <is>
          <t>GEM/2026/B/7753429</t>
        </is>
      </c>
      <c r="J258" t="inlineStr">
        <is>
          <t>loading of coal into railway wagon by contractors payloaders at kdh railway siding including levelling of wagons lime sprinkling at top of railway wagons cleaning of track etc f..</t>
        </is>
      </c>
      <c r="K258" t="inlineStr">
        <is>
          <t>Loading / handling / crushing</t>
        </is>
      </c>
      <c r="L258" t="inlineStr">
        <is>
          <t>Central Coalfields Limited</t>
        </is>
      </c>
      <c r="M258" t="inlineStr">
        <is>
          <t>Jharkhand</t>
        </is>
      </c>
      <c r="N258" t="inlineStr">
        <is>
          <t>Ranchi</t>
        </is>
      </c>
      <c r="O258" s="5" t="n">
        <v>46230</v>
      </c>
      <c r="P258" t="inlineStr">
        <is>
          <t>Financial</t>
        </is>
      </c>
      <c r="Q258" t="inlineStr">
        <is>
          <t>-</t>
        </is>
      </c>
      <c r="R258" t="inlineStr"/>
      <c r="S258" t="inlineStr">
        <is>
          <t>5 named / 5</t>
        </is>
      </c>
      <c r="U258" s="6">
        <f>IF(ISNUMBER(G258),MAX(MAX(G258,Settings!$B$13)*Settings!$B$7*Settings!$B$5,IF(ISNUMBER(Settings!$B$12),Settings!$B$12,0))*(1+IF(Settings!$B$11="Y",0,Settings!$B$10/100))+N(Settings!$B$9),"")</f>
        <v/>
      </c>
      <c r="W258" s="6">
        <f>IF(ISNUMBER(V258),IF(V258*Settings!$B$8&gt;1000,"beyond table",IFERROR(LOOKUP(V258*Settings!$B$8,'FOIS 145A'!$A$2:$A$22,'FOIS 145A'!$C$2:$C$22)*(1+IF(Settings!$B$11="Y",0,Settings!$B$10/100)),"")),"")</f>
        <v/>
      </c>
      <c r="X258" s="6">
        <f>IF(AND(ISNUMBER(U258),ISNUMBER(W258)),U258+W258,"")</f>
        <v/>
      </c>
      <c r="Y258">
        <f>Settings!$B$6</f>
        <v/>
      </c>
    </row>
    <row r="259">
      <c r="A259" t="inlineStr">
        <is>
          <t>No</t>
        </is>
      </c>
      <c r="B259" t="inlineStr">
        <is>
          <t>plant = tender city in Bihar; named mine/plant is far</t>
        </is>
      </c>
      <c r="C259" t="inlineStr"/>
      <c r="E259" t="inlineStr"/>
      <c r="H259" t="inlineStr">
        <is>
          <t>17546482</t>
        </is>
      </c>
      <c r="I259" t="inlineStr">
        <is>
          <t>GEM/2026/B/7470031</t>
        </is>
      </c>
      <c r="J259" t="inlineStr">
        <is>
          <t>facility management services - lumpsum based - manual unloading of coal from ir boxn wagons and other misc work at track hoppers in mgr at ntpc kahalgaon; o&amp;m of mechanical work; consumables to be pro</t>
        </is>
      </c>
      <c r="K259" t="inlineStr">
        <is>
          <t>Loading / handling / crushing</t>
        </is>
      </c>
      <c r="L259" t="inlineStr">
        <is>
          <t>National Thermal Power Corporation Limited</t>
        </is>
      </c>
      <c r="M259" t="inlineStr">
        <is>
          <t>Bihar</t>
        </is>
      </c>
      <c r="N259" t="inlineStr">
        <is>
          <t>Bhagalpur</t>
        </is>
      </c>
      <c r="O259" s="5" t="n">
        <v>46156</v>
      </c>
      <c r="P259" t="inlineStr">
        <is>
          <t>AOC</t>
        </is>
      </c>
      <c r="Q259" t="inlineStr">
        <is>
          <t>Muneshwar Navin Construction</t>
        </is>
      </c>
      <c r="R259" t="inlineStr"/>
      <c r="S259" t="inlineStr">
        <is>
          <t>5 named / 13</t>
        </is>
      </c>
      <c r="T259" t="n">
        <v>8.640000000000001</v>
      </c>
      <c r="U259" s="6">
        <f>IF(ISNUMBER(G259),MAX(MAX(G259,Settings!$B$13)*Settings!$B$7*Settings!$B$5,IF(ISNUMBER(Settings!$B$12),Settings!$B$12,0))*(1+IF(Settings!$B$11="Y",0,Settings!$B$10/100))+N(Settings!$B$9),"")</f>
        <v/>
      </c>
      <c r="W259" s="6">
        <f>IF(ISNUMBER(V259),IF(V259*Settings!$B$8&gt;1000,"beyond table",IFERROR(LOOKUP(V259*Settings!$B$8,'FOIS 145A'!$A$2:$A$22,'FOIS 145A'!$C$2:$C$22)*(1+IF(Settings!$B$11="Y",0,Settings!$B$10/100)),"")),"")</f>
        <v/>
      </c>
      <c r="X259" s="6">
        <f>IF(AND(ISNUMBER(U259),ISNUMBER(W259)),U259+W259,"")</f>
        <v/>
      </c>
      <c r="Y259">
        <f>Settings!$B$6</f>
        <v/>
      </c>
    </row>
    <row r="260">
      <c r="A260" t="inlineStr">
        <is>
          <t>No</t>
        </is>
      </c>
      <c r="B260" t="inlineStr">
        <is>
          <t>named mine/plant is far</t>
        </is>
      </c>
      <c r="C260" t="inlineStr"/>
      <c r="E260" t="inlineStr"/>
      <c r="H260" t="inlineStr">
        <is>
          <t>17461691</t>
        </is>
      </c>
      <c r="I260" t="inlineStr">
        <is>
          <t>GEM/2026/B/7470804</t>
        </is>
      </c>
      <c r="J260" t="inlineStr">
        <is>
          <t>handling service, crushing of rom coal at makardhokda-iii ocm of umrer area</t>
        </is>
      </c>
      <c r="K260" t="inlineStr">
        <is>
          <t>Loading / handling / crushing</t>
        </is>
      </c>
      <c r="L260" t="inlineStr">
        <is>
          <t>Western Coalfields Limited</t>
        </is>
      </c>
      <c r="M260" t="inlineStr">
        <is>
          <t>Maharashtra</t>
        </is>
      </c>
      <c r="N260" t="inlineStr">
        <is>
          <t>Nagpur</t>
        </is>
      </c>
      <c r="O260" s="5" t="n">
        <v>46150</v>
      </c>
      <c r="P260" t="inlineStr">
        <is>
          <t>AOC</t>
        </is>
      </c>
      <c r="Q260" t="inlineStr">
        <is>
          <t>Teqworth Solutions And Services Llp</t>
        </is>
      </c>
      <c r="R260" t="inlineStr"/>
      <c r="S260" t="inlineStr">
        <is>
          <t>4 named / 4</t>
        </is>
      </c>
      <c r="T260" t="n">
        <v>11</v>
      </c>
      <c r="U260" s="6">
        <f>IF(ISNUMBER(G260),MAX(MAX(G260,Settings!$B$13)*Settings!$B$7*Settings!$B$5,IF(ISNUMBER(Settings!$B$12),Settings!$B$12,0))*(1+IF(Settings!$B$11="Y",0,Settings!$B$10/100))+N(Settings!$B$9),"")</f>
        <v/>
      </c>
      <c r="W260" s="6">
        <f>IF(ISNUMBER(V260),IF(V260*Settings!$B$8&gt;1000,"beyond table",IFERROR(LOOKUP(V260*Settings!$B$8,'FOIS 145A'!$A$2:$A$22,'FOIS 145A'!$C$2:$C$22)*(1+IF(Settings!$B$11="Y",0,Settings!$B$10/100)),"")),"")</f>
        <v/>
      </c>
      <c r="X260" s="6">
        <f>IF(AND(ISNUMBER(U260),ISNUMBER(W260)),U260+W260,"")</f>
        <v/>
      </c>
      <c r="Y260">
        <f>Settings!$B$6</f>
        <v/>
      </c>
    </row>
    <row r="261">
      <c r="A261" t="inlineStr">
        <is>
          <t>No</t>
        </is>
      </c>
      <c r="B261" t="inlineStr">
        <is>
          <t>plant = tender city in Madhya Pradesh; named mine/plant is far</t>
        </is>
      </c>
      <c r="C261" t="inlineStr"/>
      <c r="E261" t="inlineStr"/>
      <c r="H261" t="inlineStr">
        <is>
          <t>16966075</t>
        </is>
      </c>
      <c r="I261" t="inlineStr">
        <is>
          <t>2026_JPL_271414_1</t>
        </is>
      </c>
      <c r="J261" t="inlineStr">
        <is>
          <t>coal coordination liasoning and loading supervision at secl ncl ccl mcl indian railways mop moc cea subgroup for all types of coal in direct rail mode</t>
        </is>
      </c>
      <c r="K261" t="inlineStr">
        <is>
          <t>Loading / handling / crushing</t>
        </is>
      </c>
      <c r="L261" t="inlineStr">
        <is>
          <t>Jhabua Power Limited</t>
        </is>
      </c>
      <c r="M261" t="inlineStr">
        <is>
          <t>Madhya Pradesh</t>
        </is>
      </c>
      <c r="N261" t="inlineStr">
        <is>
          <t>Seoni</t>
        </is>
      </c>
      <c r="O261" s="5" t="n">
        <v>46118</v>
      </c>
      <c r="P261" t="inlineStr">
        <is>
          <t>Financial</t>
        </is>
      </c>
      <c r="Q261" t="inlineStr">
        <is>
          <t>-</t>
        </is>
      </c>
      <c r="R261" t="inlineStr"/>
      <c r="S261" t="inlineStr">
        <is>
          <t>5 named / 9</t>
        </is>
      </c>
      <c r="U261" s="6">
        <f>IF(ISNUMBER(G261),MAX(MAX(G261,Settings!$B$13)*Settings!$B$7*Settings!$B$5,IF(ISNUMBER(Settings!$B$12),Settings!$B$12,0))*(1+IF(Settings!$B$11="Y",0,Settings!$B$10/100))+N(Settings!$B$9),"")</f>
        <v/>
      </c>
      <c r="W261" s="6">
        <f>IF(ISNUMBER(V261),IF(V261*Settings!$B$8&gt;1000,"beyond table",IFERROR(LOOKUP(V261*Settings!$B$8,'FOIS 145A'!$A$2:$A$22,'FOIS 145A'!$C$2:$C$22)*(1+IF(Settings!$B$11="Y",0,Settings!$B$10/100)),"")),"")</f>
        <v/>
      </c>
      <c r="X261" s="6">
        <f>IF(AND(ISNUMBER(U261),ISNUMBER(W261)),U261+W261,"")</f>
        <v/>
      </c>
      <c r="Y261">
        <f>Settings!$B$6</f>
        <v/>
      </c>
    </row>
    <row r="262">
      <c r="A262" t="inlineStr">
        <is>
          <t>No</t>
        </is>
      </c>
      <c r="B262" t="inlineStr">
        <is>
          <t>named mine/plant is far</t>
        </is>
      </c>
      <c r="C262" t="inlineStr"/>
      <c r="E262" t="inlineStr"/>
      <c r="H262" t="inlineStr">
        <is>
          <t>16786365</t>
        </is>
      </c>
      <c r="I262" t="inlineStr">
        <is>
          <t>GEM/2026/B/7152852</t>
        </is>
      </c>
      <c r="J262" t="inlineStr">
        <is>
          <t>handling service, loading of coal into wagons by hired pay loaders at mungoli sub area of wani area</t>
        </is>
      </c>
      <c r="K262" t="inlineStr">
        <is>
          <t>Loading / handling / crushing</t>
        </is>
      </c>
      <c r="L262" t="inlineStr">
        <is>
          <t>Western Coalfields Limited</t>
        </is>
      </c>
      <c r="M262" t="inlineStr">
        <is>
          <t>Maharashtra</t>
        </is>
      </c>
      <c r="N262" t="inlineStr">
        <is>
          <t>Chandrapur</t>
        </is>
      </c>
      <c r="O262" s="5" t="n">
        <v>46065</v>
      </c>
      <c r="P262" t="inlineStr">
        <is>
          <t>AOC</t>
        </is>
      </c>
      <c r="Q262" t="inlineStr">
        <is>
          <t>Jsm Infralinks</t>
        </is>
      </c>
      <c r="R262" t="inlineStr"/>
      <c r="S262" t="inlineStr">
        <is>
          <t>5 named / 6</t>
        </is>
      </c>
      <c r="T262" t="n">
        <v>6.82</v>
      </c>
      <c r="U262" s="6">
        <f>IF(ISNUMBER(G262),MAX(MAX(G262,Settings!$B$13)*Settings!$B$7*Settings!$B$5,IF(ISNUMBER(Settings!$B$12),Settings!$B$12,0))*(1+IF(Settings!$B$11="Y",0,Settings!$B$10/100))+N(Settings!$B$9),"")</f>
        <v/>
      </c>
      <c r="W262" s="6">
        <f>IF(ISNUMBER(V262),IF(V262*Settings!$B$8&gt;1000,"beyond table",IFERROR(LOOKUP(V262*Settings!$B$8,'FOIS 145A'!$A$2:$A$22,'FOIS 145A'!$C$2:$C$22)*(1+IF(Settings!$B$11="Y",0,Settings!$B$10/100)),"")),"")</f>
        <v/>
      </c>
      <c r="X262" s="6">
        <f>IF(AND(ISNUMBER(U262),ISNUMBER(W262)),U262+W262,"")</f>
        <v/>
      </c>
      <c r="Y262">
        <f>Settings!$B$6</f>
        <v/>
      </c>
    </row>
    <row r="263">
      <c r="A263" t="inlineStr">
        <is>
          <t>No</t>
        </is>
      </c>
      <c r="B263" t="inlineStr">
        <is>
          <t>named mine/plant is far</t>
        </is>
      </c>
      <c r="C263" t="inlineStr"/>
      <c r="E263" t="inlineStr"/>
      <c r="H263" t="inlineStr">
        <is>
          <t>16741356</t>
        </is>
      </c>
      <c r="I263" t="inlineStr">
        <is>
          <t>GEM/2026/B/7155844</t>
        </is>
      </c>
      <c r="J263" t="inlineStr">
        <is>
          <t>handling service, loading of coal into wagons by hired pay loaders at bg railway siding saoner of nagpur area</t>
        </is>
      </c>
      <c r="K263" t="inlineStr">
        <is>
          <t>Loading / handling / crushing</t>
        </is>
      </c>
      <c r="L263" t="inlineStr">
        <is>
          <t>Western Coalfields Limited</t>
        </is>
      </c>
      <c r="M263" t="inlineStr">
        <is>
          <t>Maharashtra</t>
        </is>
      </c>
      <c r="N263" t="inlineStr">
        <is>
          <t>Nagpur</t>
        </is>
      </c>
      <c r="O263" s="5" t="n">
        <v>46065</v>
      </c>
      <c r="P263" t="inlineStr">
        <is>
          <t>AOC</t>
        </is>
      </c>
      <c r="Q263" t="inlineStr">
        <is>
          <t>Orbit Corporation</t>
        </is>
      </c>
      <c r="R263" t="inlineStr"/>
      <c r="S263" t="inlineStr">
        <is>
          <t>5 named / 8</t>
        </is>
      </c>
      <c r="T263" t="n">
        <v>14.86</v>
      </c>
      <c r="U263" s="6">
        <f>IF(ISNUMBER(G263),MAX(MAX(G263,Settings!$B$13)*Settings!$B$7*Settings!$B$5,IF(ISNUMBER(Settings!$B$12),Settings!$B$12,0))*(1+IF(Settings!$B$11="Y",0,Settings!$B$10/100))+N(Settings!$B$9),"")</f>
        <v/>
      </c>
      <c r="W263" s="6">
        <f>IF(ISNUMBER(V263),IF(V263*Settings!$B$8&gt;1000,"beyond table",IFERROR(LOOKUP(V263*Settings!$B$8,'FOIS 145A'!$A$2:$A$22,'FOIS 145A'!$C$2:$C$22)*(1+IF(Settings!$B$11="Y",0,Settings!$B$10/100)),"")),"")</f>
        <v/>
      </c>
      <c r="X263" s="6">
        <f>IF(AND(ISNUMBER(U263),ISNUMBER(W263)),U263+W263,"")</f>
        <v/>
      </c>
      <c r="Y263">
        <f>Settings!$B$6</f>
        <v/>
      </c>
    </row>
    <row r="264">
      <c r="A264" t="inlineStr">
        <is>
          <t>No</t>
        </is>
      </c>
      <c r="B264" t="inlineStr">
        <is>
          <t>plant = tender city in West Bengal; named mine/plant is far</t>
        </is>
      </c>
      <c r="C264" t="inlineStr"/>
      <c r="E264" t="inlineStr"/>
      <c r="H264" t="inlineStr">
        <is>
          <t>16390905</t>
        </is>
      </c>
      <c r="I264" t="inlineStr">
        <is>
          <t>2026_DPL_990246_1</t>
        </is>
      </c>
      <c r="J264" t="inlineStr">
        <is>
          <t xml:space="preserve">proposal for  the job of engagement of coal liaisoning agency for supervision and sample witnessing at loading end of bccl collieries for a period of one year with a provision of extension of another </t>
        </is>
      </c>
      <c r="K264" t="inlineStr">
        <is>
          <t>Loading / handling / crushing</t>
        </is>
      </c>
      <c r="L264" t="inlineStr">
        <is>
          <t>Durgapur Projects Limited</t>
        </is>
      </c>
      <c r="M264" t="inlineStr">
        <is>
          <t>West Bengal</t>
        </is>
      </c>
      <c r="N264" t="inlineStr">
        <is>
          <t>Bardhaman</t>
        </is>
      </c>
      <c r="O264" s="5" t="n">
        <v>46056</v>
      </c>
      <c r="P264" t="inlineStr">
        <is>
          <t>AOC</t>
        </is>
      </c>
      <c r="Q264" t="inlineStr">
        <is>
          <t>Sangita Sales Private Limited</t>
        </is>
      </c>
      <c r="R264" t="inlineStr"/>
      <c r="S264" t="inlineStr">
        <is>
          <t>5 named / 9</t>
        </is>
      </c>
      <c r="T264" t="n">
        <v>1.45</v>
      </c>
      <c r="U264" s="6">
        <f>IF(ISNUMBER(G264),MAX(MAX(G264,Settings!$B$13)*Settings!$B$7*Settings!$B$5,IF(ISNUMBER(Settings!$B$12),Settings!$B$12,0))*(1+IF(Settings!$B$11="Y",0,Settings!$B$10/100))+N(Settings!$B$9),"")</f>
        <v/>
      </c>
      <c r="W264" s="6">
        <f>IF(ISNUMBER(V264),IF(V264*Settings!$B$8&gt;1000,"beyond table",IFERROR(LOOKUP(V264*Settings!$B$8,'FOIS 145A'!$A$2:$A$22,'FOIS 145A'!$C$2:$C$22)*(1+IF(Settings!$B$11="Y",0,Settings!$B$10/100)),"")),"")</f>
        <v/>
      </c>
      <c r="X264" s="6">
        <f>IF(AND(ISNUMBER(U264),ISNUMBER(W264)),U264+W264,"")</f>
        <v/>
      </c>
      <c r="Y264">
        <f>Settings!$B$6</f>
        <v/>
      </c>
    </row>
    <row r="265">
      <c r="A265" t="inlineStr">
        <is>
          <t>No</t>
        </is>
      </c>
      <c r="B265" t="inlineStr">
        <is>
          <t>plant = tender city in Uttar Pradesh; named mine/plant is far</t>
        </is>
      </c>
      <c r="C265" t="inlineStr"/>
      <c r="E265" t="inlineStr"/>
      <c r="H265" t="inlineStr">
        <is>
          <t>16805737</t>
        </is>
      </c>
      <c r="I265" t="inlineStr">
        <is>
          <t>GEM/2025/B/7029761</t>
        </is>
      </c>
      <c r="J265" t="inlineStr">
        <is>
          <t xml:space="preserve">facility management services - lumpsum based - industrial; job contract for unloading of coal from bobr &amp; boxn wagons and deployment of manpower assistant in mgr operation; consumables to be provided </t>
        </is>
      </c>
      <c r="K265" t="inlineStr">
        <is>
          <t>Loading / handling / crushing</t>
        </is>
      </c>
      <c r="L265" t="inlineStr">
        <is>
          <t>National Thermal Power Corporation Limited</t>
        </is>
      </c>
      <c r="M265" t="inlineStr">
        <is>
          <t>Uttar Pradesh</t>
        </is>
      </c>
      <c r="N265" t="inlineStr">
        <is>
          <t>Sonebhadra</t>
        </is>
      </c>
      <c r="O265" s="5" t="n">
        <v>46034</v>
      </c>
      <c r="P265" t="inlineStr">
        <is>
          <t>AOC</t>
        </is>
      </c>
      <c r="Q265" t="inlineStr">
        <is>
          <t>Puja Associates</t>
        </is>
      </c>
      <c r="R265" t="inlineStr"/>
      <c r="S265" t="inlineStr">
        <is>
          <t>5 named / 12</t>
        </is>
      </c>
      <c r="T265" t="n">
        <v>13.12</v>
      </c>
      <c r="U265" s="6">
        <f>IF(ISNUMBER(G265),MAX(MAX(G265,Settings!$B$13)*Settings!$B$7*Settings!$B$5,IF(ISNUMBER(Settings!$B$12),Settings!$B$12,0))*(1+IF(Settings!$B$11="Y",0,Settings!$B$10/100))+N(Settings!$B$9),"")</f>
        <v/>
      </c>
      <c r="W265" s="6">
        <f>IF(ISNUMBER(V265),IF(V265*Settings!$B$8&gt;1000,"beyond table",IFERROR(LOOKUP(V265*Settings!$B$8,'FOIS 145A'!$A$2:$A$22,'FOIS 145A'!$C$2:$C$22)*(1+IF(Settings!$B$11="Y",0,Settings!$B$10/100)),"")),"")</f>
        <v/>
      </c>
      <c r="X265" s="6">
        <f>IF(AND(ISNUMBER(U265),ISNUMBER(W265)),U265+W265,"")</f>
        <v/>
      </c>
      <c r="Y265">
        <f>Settings!$B$6</f>
        <v/>
      </c>
    </row>
    <row r="266">
      <c r="A266" t="inlineStr">
        <is>
          <t>No</t>
        </is>
      </c>
      <c r="B266" t="inlineStr">
        <is>
          <t>plant = tender city in Bihar; named mine/plant is far</t>
        </is>
      </c>
      <c r="C266" t="inlineStr"/>
      <c r="E266" t="inlineStr"/>
      <c r="H266" t="inlineStr">
        <is>
          <t>15936044</t>
        </is>
      </c>
      <c r="I266" t="inlineStr">
        <is>
          <t>GEM/2025/B/6933679</t>
        </is>
      </c>
      <c r="J266" t="inlineStr">
        <is>
          <t>200143067 annual contract for manual unloading of coal wagons at ntpc kanti</t>
        </is>
      </c>
      <c r="K266" t="inlineStr">
        <is>
          <t>Loading / handling / crushing</t>
        </is>
      </c>
      <c r="L266" t="inlineStr">
        <is>
          <t>National Thermal Power Corporation Limited</t>
        </is>
      </c>
      <c r="M266" t="inlineStr">
        <is>
          <t>Bihar</t>
        </is>
      </c>
      <c r="N266" t="inlineStr">
        <is>
          <t>Muzaffarpur</t>
        </is>
      </c>
      <c r="O266" s="5" t="n">
        <v>46006</v>
      </c>
      <c r="P266" t="inlineStr">
        <is>
          <t>AOC</t>
        </is>
      </c>
      <c r="Q266" t="inlineStr">
        <is>
          <t>New Maa Brahmani Enterprises</t>
        </is>
      </c>
      <c r="R266" t="inlineStr"/>
      <c r="S266" t="inlineStr">
        <is>
          <t>5 named / 9</t>
        </is>
      </c>
      <c r="T266" t="n">
        <v>0.7</v>
      </c>
      <c r="U266" s="6">
        <f>IF(ISNUMBER(G266),MAX(MAX(G266,Settings!$B$13)*Settings!$B$7*Settings!$B$5,IF(ISNUMBER(Settings!$B$12),Settings!$B$12,0))*(1+IF(Settings!$B$11="Y",0,Settings!$B$10/100))+N(Settings!$B$9),"")</f>
        <v/>
      </c>
      <c r="W266" s="6">
        <f>IF(ISNUMBER(V266),IF(V266*Settings!$B$8&gt;1000,"beyond table",IFERROR(LOOKUP(V266*Settings!$B$8,'FOIS 145A'!$A$2:$A$22,'FOIS 145A'!$C$2:$C$22)*(1+IF(Settings!$B$11="Y",0,Settings!$B$10/100)),"")),"")</f>
        <v/>
      </c>
      <c r="X266" s="6">
        <f>IF(AND(ISNUMBER(U266),ISNUMBER(W266)),U266+W266,"")</f>
        <v/>
      </c>
      <c r="Y266">
        <f>Settings!$B$6</f>
        <v/>
      </c>
    </row>
    <row r="267">
      <c r="A267" t="inlineStr">
        <is>
          <t>No</t>
        </is>
      </c>
      <c r="B267" t="inlineStr">
        <is>
          <t>mine = coal company's tender in Jharkhand; named mine/plant is far</t>
        </is>
      </c>
      <c r="C267" t="inlineStr"/>
      <c r="E267" t="inlineStr"/>
      <c r="H267" t="inlineStr">
        <is>
          <t>16363343</t>
        </is>
      </c>
      <c r="I267" t="inlineStr">
        <is>
          <t>GEM/2025/B/6884365</t>
        </is>
      </c>
      <c r="J267" t="inlineStr">
        <is>
          <t>loading of coal into railway wagon by contractors payloader at dakra (m) railway siding including leveling of wagons lime sprinkling at top of railway wagons cleaning of track etc for the period of tw</t>
        </is>
      </c>
      <c r="K267" t="inlineStr">
        <is>
          <t>Loading / handling / crushing</t>
        </is>
      </c>
      <c r="L267" t="inlineStr">
        <is>
          <t>Central Coalfields Limited</t>
        </is>
      </c>
      <c r="M267" t="inlineStr">
        <is>
          <t>Jharkhand</t>
        </is>
      </c>
      <c r="N267" t="inlineStr">
        <is>
          <t>Ranchi</t>
        </is>
      </c>
      <c r="O267" s="5" t="n">
        <v>45988</v>
      </c>
      <c r="P267" t="inlineStr">
        <is>
          <t>Financial</t>
        </is>
      </c>
      <c r="Q267" t="inlineStr">
        <is>
          <t>-</t>
        </is>
      </c>
      <c r="R267" t="inlineStr"/>
      <c r="S267" t="inlineStr">
        <is>
          <t>5 named / 5</t>
        </is>
      </c>
      <c r="U267" s="6">
        <f>IF(ISNUMBER(G267),MAX(MAX(G267,Settings!$B$13)*Settings!$B$7*Settings!$B$5,IF(ISNUMBER(Settings!$B$12),Settings!$B$12,0))*(1+IF(Settings!$B$11="Y",0,Settings!$B$10/100))+N(Settings!$B$9),"")</f>
        <v/>
      </c>
      <c r="W267" s="6">
        <f>IF(ISNUMBER(V267),IF(V267*Settings!$B$8&gt;1000,"beyond table",IFERROR(LOOKUP(V267*Settings!$B$8,'FOIS 145A'!$A$2:$A$22,'FOIS 145A'!$C$2:$C$22)*(1+IF(Settings!$B$11="Y",0,Settings!$B$10/100)),"")),"")</f>
        <v/>
      </c>
      <c r="X267" s="6">
        <f>IF(AND(ISNUMBER(U267),ISNUMBER(W267)),U267+W267,"")</f>
        <v/>
      </c>
      <c r="Y267">
        <f>Settings!$B$6</f>
        <v/>
      </c>
    </row>
    <row r="268">
      <c r="A268" t="inlineStr">
        <is>
          <t>No</t>
        </is>
      </c>
      <c r="B268" t="inlineStr">
        <is>
          <t>plant = tender city in West Bengal; named mine/plant is far</t>
        </is>
      </c>
      <c r="C268" t="inlineStr"/>
      <c r="E268" t="inlineStr"/>
      <c r="H268" t="inlineStr">
        <is>
          <t>15591240</t>
        </is>
      </c>
      <c r="I268" t="inlineStr">
        <is>
          <t>GEM/2025/B/6644928</t>
        </is>
      </c>
      <c r="J268" t="inlineStr">
        <is>
          <t>unloading of coal from ir bobr wagons at track hoppers and unloading jobs</t>
        </is>
      </c>
      <c r="K268" t="inlineStr">
        <is>
          <t>Loading / handling / crushing</t>
        </is>
      </c>
      <c r="L268" t="inlineStr">
        <is>
          <t>National Thermal Power Corporation Limited</t>
        </is>
      </c>
      <c r="M268" t="inlineStr">
        <is>
          <t>West Bengal</t>
        </is>
      </c>
      <c r="N268" t="inlineStr">
        <is>
          <t>Murshidabad</t>
        </is>
      </c>
      <c r="O268" s="5" t="n">
        <v>45926</v>
      </c>
      <c r="P268" t="inlineStr">
        <is>
          <t>AOC</t>
        </is>
      </c>
      <c r="Q268" t="inlineStr">
        <is>
          <t>Royal Enterprises</t>
        </is>
      </c>
      <c r="R268" t="inlineStr"/>
      <c r="S268" t="inlineStr">
        <is>
          <t>5 named / 6</t>
        </is>
      </c>
      <c r="T268" t="n">
        <v>20.23</v>
      </c>
      <c r="U268" s="6">
        <f>IF(ISNUMBER(G268),MAX(MAX(G268,Settings!$B$13)*Settings!$B$7*Settings!$B$5,IF(ISNUMBER(Settings!$B$12),Settings!$B$12,0))*(1+IF(Settings!$B$11="Y",0,Settings!$B$10/100))+N(Settings!$B$9),"")</f>
        <v/>
      </c>
      <c r="W268" s="6">
        <f>IF(ISNUMBER(V268),IF(V268*Settings!$B$8&gt;1000,"beyond table",IFERROR(LOOKUP(V268*Settings!$B$8,'FOIS 145A'!$A$2:$A$22,'FOIS 145A'!$C$2:$C$22)*(1+IF(Settings!$B$11="Y",0,Settings!$B$10/100)),"")),"")</f>
        <v/>
      </c>
      <c r="X268" s="6">
        <f>IF(AND(ISNUMBER(U268),ISNUMBER(W268)),U268+W268,"")</f>
        <v/>
      </c>
      <c r="Y268">
        <f>Settings!$B$6</f>
        <v/>
      </c>
    </row>
    <row r="269">
      <c r="A269" t="inlineStr">
        <is>
          <t>No</t>
        </is>
      </c>
      <c r="B269" t="inlineStr">
        <is>
          <t>plant = tender city in Madhya Pradesh; named mine/plant is far</t>
        </is>
      </c>
      <c r="C269" t="inlineStr"/>
      <c r="E269" t="inlineStr"/>
      <c r="H269" t="inlineStr">
        <is>
          <t>14974101</t>
        </is>
      </c>
      <c r="I269" t="inlineStr">
        <is>
          <t>2025_JPL_244699_1</t>
        </is>
      </c>
      <c r="J269" t="inlineStr">
        <is>
          <t>manual unloading of coal rakes at jhabua power pjpb siding inside plant</t>
        </is>
      </c>
      <c r="K269" t="inlineStr">
        <is>
          <t>Loading / handling / crushing</t>
        </is>
      </c>
      <c r="L269" t="inlineStr">
        <is>
          <t>Jhabua Power Limited</t>
        </is>
      </c>
      <c r="M269" t="inlineStr">
        <is>
          <t>Madhya Pradesh</t>
        </is>
      </c>
      <c r="N269" t="inlineStr">
        <is>
          <t>Seoni</t>
        </is>
      </c>
      <c r="O269" s="5" t="n">
        <v>45913</v>
      </c>
      <c r="P269" t="inlineStr">
        <is>
          <t>Financial</t>
        </is>
      </c>
      <c r="Q269" t="inlineStr">
        <is>
          <t>-</t>
        </is>
      </c>
      <c r="R269" t="inlineStr">
        <is>
          <t>United Coal Carriers</t>
        </is>
      </c>
      <c r="S269" t="inlineStr">
        <is>
          <t>5 named / 9</t>
        </is>
      </c>
      <c r="U269" s="6">
        <f>IF(ISNUMBER(G269),MAX(MAX(G269,Settings!$B$13)*Settings!$B$7*Settings!$B$5,IF(ISNUMBER(Settings!$B$12),Settings!$B$12,0))*(1+IF(Settings!$B$11="Y",0,Settings!$B$10/100))+N(Settings!$B$9),"")</f>
        <v/>
      </c>
      <c r="W269" s="6">
        <f>IF(ISNUMBER(V269),IF(V269*Settings!$B$8&gt;1000,"beyond table",IFERROR(LOOKUP(V269*Settings!$B$8,'FOIS 145A'!$A$2:$A$22,'FOIS 145A'!$C$2:$C$22)*(1+IF(Settings!$B$11="Y",0,Settings!$B$10/100)),"")),"")</f>
        <v/>
      </c>
      <c r="X269" s="6">
        <f>IF(AND(ISNUMBER(U269),ISNUMBER(W269)),U269+W269,"")</f>
        <v/>
      </c>
      <c r="Y269">
        <f>Settings!$B$6</f>
        <v/>
      </c>
    </row>
    <row r="270">
      <c r="A270" t="inlineStr">
        <is>
          <t>No</t>
        </is>
      </c>
      <c r="B270" t="inlineStr">
        <is>
          <t>plant = tender city in Jharkhand; named mine/plant is far</t>
        </is>
      </c>
      <c r="C270" t="inlineStr"/>
      <c r="E270" t="inlineStr"/>
      <c r="H270" t="inlineStr">
        <is>
          <t>15739636</t>
        </is>
      </c>
      <c r="I270" t="inlineStr">
        <is>
          <t>2025_DVC_241238_1</t>
        </is>
      </c>
      <c r="J270" t="inlineStr">
        <is>
          <t>running contract for engagement of 01 (one) no. chain mounted hydraulic excavator of (ex-200/210 or equivalent) capacity for handling of ash and cover up the raised ash dykes with earth / coal boulder</t>
        </is>
      </c>
      <c r="K270" t="inlineStr">
        <is>
          <t>Loading / handling / crushing</t>
        </is>
      </c>
      <c r="L270" t="inlineStr">
        <is>
          <t>Damodar Valley Corporation</t>
        </is>
      </c>
      <c r="M270" t="inlineStr">
        <is>
          <t>Jharkhand</t>
        </is>
      </c>
      <c r="N270" t="inlineStr">
        <is>
          <t>Bokaro</t>
        </is>
      </c>
      <c r="O270" s="5" t="n">
        <v>45895</v>
      </c>
      <c r="P270" t="inlineStr">
        <is>
          <t>Technical</t>
        </is>
      </c>
      <c r="Q270" t="inlineStr">
        <is>
          <t>-</t>
        </is>
      </c>
      <c r="R270" t="inlineStr">
        <is>
          <t>Nkas Services</t>
        </is>
      </c>
      <c r="S270" t="inlineStr">
        <is>
          <t>4 named / 4</t>
        </is>
      </c>
      <c r="U270" s="6">
        <f>IF(ISNUMBER(G270),MAX(MAX(G270,Settings!$B$13)*Settings!$B$7*Settings!$B$5,IF(ISNUMBER(Settings!$B$12),Settings!$B$12,0))*(1+IF(Settings!$B$11="Y",0,Settings!$B$10/100))+N(Settings!$B$9),"")</f>
        <v/>
      </c>
      <c r="W270" s="6">
        <f>IF(ISNUMBER(V270),IF(V270*Settings!$B$8&gt;1000,"beyond table",IFERROR(LOOKUP(V270*Settings!$B$8,'FOIS 145A'!$A$2:$A$22,'FOIS 145A'!$C$2:$C$22)*(1+IF(Settings!$B$11="Y",0,Settings!$B$10/100)),"")),"")</f>
        <v/>
      </c>
      <c r="X270" s="6">
        <f>IF(AND(ISNUMBER(U270),ISNUMBER(W270)),U270+W270,"")</f>
        <v/>
      </c>
      <c r="Y270">
        <f>Settings!$B$6</f>
        <v/>
      </c>
    </row>
    <row r="271">
      <c r="A271" t="inlineStr">
        <is>
          <t>No</t>
        </is>
      </c>
      <c r="B271" t="inlineStr">
        <is>
          <t>plant = tender city in Bihar; named mine/plant is far</t>
        </is>
      </c>
      <c r="C271" t="inlineStr"/>
      <c r="E271" t="inlineStr"/>
      <c r="H271" t="inlineStr">
        <is>
          <t>15029665</t>
        </is>
      </c>
      <c r="I271" t="inlineStr">
        <is>
          <t>GEM/2025/B/6487912</t>
        </is>
      </c>
      <c r="J271" t="inlineStr">
        <is>
          <t>biennial contract for manual unloading of coal wagons at ntpc barauni chp</t>
        </is>
      </c>
      <c r="K271" t="inlineStr">
        <is>
          <t>Loading / handling / crushing</t>
        </is>
      </c>
      <c r="L271" t="inlineStr">
        <is>
          <t>National Thermal Power Corporation Limited</t>
        </is>
      </c>
      <c r="M271" t="inlineStr">
        <is>
          <t>Bihar</t>
        </is>
      </c>
      <c r="N271" t="inlineStr">
        <is>
          <t>Begusarai</t>
        </is>
      </c>
      <c r="O271" s="5" t="n">
        <v>45883</v>
      </c>
      <c r="P271" t="inlineStr">
        <is>
          <t>AOC</t>
        </is>
      </c>
      <c r="Q271" t="inlineStr">
        <is>
          <t>Siyaram Construction</t>
        </is>
      </c>
      <c r="R271" t="inlineStr"/>
      <c r="S271" t="inlineStr">
        <is>
          <t>5 named / 9</t>
        </is>
      </c>
      <c r="T271" t="n">
        <v>9.630000000000001</v>
      </c>
      <c r="U271" s="6">
        <f>IF(ISNUMBER(G271),MAX(MAX(G271,Settings!$B$13)*Settings!$B$7*Settings!$B$5,IF(ISNUMBER(Settings!$B$12),Settings!$B$12,0))*(1+IF(Settings!$B$11="Y",0,Settings!$B$10/100))+N(Settings!$B$9),"")</f>
        <v/>
      </c>
      <c r="W271" s="6">
        <f>IF(ISNUMBER(V271),IF(V271*Settings!$B$8&gt;1000,"beyond table",IFERROR(LOOKUP(V271*Settings!$B$8,'FOIS 145A'!$A$2:$A$22,'FOIS 145A'!$C$2:$C$22)*(1+IF(Settings!$B$11="Y",0,Settings!$B$10/100)),"")),"")</f>
        <v/>
      </c>
      <c r="X271" s="6">
        <f>IF(AND(ISNUMBER(U271),ISNUMBER(W271)),U271+W271,"")</f>
        <v/>
      </c>
      <c r="Y271">
        <f>Settings!$B$6</f>
        <v/>
      </c>
    </row>
    <row r="272">
      <c r="A272" t="inlineStr">
        <is>
          <t>No</t>
        </is>
      </c>
      <c r="B272" t="inlineStr">
        <is>
          <t>named mine/plant is far</t>
        </is>
      </c>
      <c r="C272" t="inlineStr"/>
      <c r="E272" t="inlineStr"/>
      <c r="H272" t="inlineStr">
        <is>
          <t>14597507</t>
        </is>
      </c>
      <c r="I272" t="inlineStr">
        <is>
          <t>2025_EB_567955_1</t>
        </is>
      </c>
      <c r="J272" t="inlineStr">
        <is>
          <t>movement and handling of coal from the various collieries of mahanadhi coalfields ltd. through the load port of paradip for the thermal stations of tnpgcl by rail-cum-sea route</t>
        </is>
      </c>
      <c r="K272" t="inlineStr">
        <is>
          <t>Loading / handling / crushing</t>
        </is>
      </c>
      <c r="L272" t="inlineStr">
        <is>
          <t>Tamil Nadu Generation And Distribution Corporation Limited</t>
        </is>
      </c>
      <c r="M272" t="inlineStr">
        <is>
          <t>Orissa</t>
        </is>
      </c>
      <c r="N272" t="inlineStr">
        <is>
          <t>Jagatsinghpur</t>
        </is>
      </c>
      <c r="O272" s="5" t="n">
        <v>45880</v>
      </c>
      <c r="P272" t="inlineStr">
        <is>
          <t>AOC</t>
        </is>
      </c>
      <c r="Q272" t="inlineStr">
        <is>
          <t>Kps Logistics</t>
        </is>
      </c>
      <c r="R272" t="inlineStr">
        <is>
          <t>Godavari Commodities</t>
        </is>
      </c>
      <c r="S272" t="inlineStr">
        <is>
          <t>5 named / 8</t>
        </is>
      </c>
      <c r="T272" t="n">
        <v>64.52</v>
      </c>
      <c r="U272" s="6">
        <f>IF(ISNUMBER(G272),MAX(MAX(G272,Settings!$B$13)*Settings!$B$7*Settings!$B$5,IF(ISNUMBER(Settings!$B$12),Settings!$B$12,0))*(1+IF(Settings!$B$11="Y",0,Settings!$B$10/100))+N(Settings!$B$9),"")</f>
        <v/>
      </c>
      <c r="W272" s="6">
        <f>IF(ISNUMBER(V272),IF(V272*Settings!$B$8&gt;1000,"beyond table",IFERROR(LOOKUP(V272*Settings!$B$8,'FOIS 145A'!$A$2:$A$22,'FOIS 145A'!$C$2:$C$22)*(1+IF(Settings!$B$11="Y",0,Settings!$B$10/100)),"")),"")</f>
        <v/>
      </c>
      <c r="X272" s="6">
        <f>IF(AND(ISNUMBER(U272),ISNUMBER(W272)),U272+W272,"")</f>
        <v/>
      </c>
      <c r="Y272">
        <f>Settings!$B$6</f>
        <v/>
      </c>
    </row>
    <row r="273">
      <c r="A273" t="inlineStr">
        <is>
          <t>No</t>
        </is>
      </c>
      <c r="B273" t="inlineStr">
        <is>
          <t>plant = tender city in Jharkhand; named mine/plant is far</t>
        </is>
      </c>
      <c r="C273" t="inlineStr"/>
      <c r="E273" t="inlineStr"/>
      <c r="H273" t="inlineStr">
        <is>
          <t>14270223</t>
        </is>
      </c>
      <c r="I273" t="inlineStr">
        <is>
          <t>GEM/2025/B/6302821</t>
        </is>
      </c>
      <c r="J273" t="inlineStr">
        <is>
          <t>deployment of equipments on per ton basis for handling / re-handling of c</t>
        </is>
      </c>
      <c r="K273" t="inlineStr">
        <is>
          <t>Loading / handling / crushing</t>
        </is>
      </c>
      <c r="L273" t="inlineStr">
        <is>
          <t>National Thermal Power Corporation Limited</t>
        </is>
      </c>
      <c r="M273" t="inlineStr">
        <is>
          <t>Jharkhand</t>
        </is>
      </c>
      <c r="N273" t="inlineStr">
        <is>
          <t>Hazaribagh</t>
        </is>
      </c>
      <c r="O273" s="5" t="n">
        <v>45832</v>
      </c>
      <c r="P273" t="inlineStr">
        <is>
          <t>AOC</t>
        </is>
      </c>
      <c r="Q273" t="inlineStr">
        <is>
          <t>B Y Enterprises</t>
        </is>
      </c>
      <c r="R273" t="inlineStr"/>
      <c r="S273" t="inlineStr">
        <is>
          <t>5 named / 10</t>
        </is>
      </c>
      <c r="T273" t="n">
        <v>2.32</v>
      </c>
      <c r="U273" s="6">
        <f>IF(ISNUMBER(G273),MAX(MAX(G273,Settings!$B$13)*Settings!$B$7*Settings!$B$5,IF(ISNUMBER(Settings!$B$12),Settings!$B$12,0))*(1+IF(Settings!$B$11="Y",0,Settings!$B$10/100))+N(Settings!$B$9),"")</f>
        <v/>
      </c>
      <c r="W273" s="6">
        <f>IF(ISNUMBER(V273),IF(V273*Settings!$B$8&gt;1000,"beyond table",IFERROR(LOOKUP(V273*Settings!$B$8,'FOIS 145A'!$A$2:$A$22,'FOIS 145A'!$C$2:$C$22)*(1+IF(Settings!$B$11="Y",0,Settings!$B$10/100)),"")),"")</f>
        <v/>
      </c>
      <c r="X273" s="6">
        <f>IF(AND(ISNUMBER(U273),ISNUMBER(W273)),U273+W273,"")</f>
        <v/>
      </c>
      <c r="Y273">
        <f>Settings!$B$6</f>
        <v/>
      </c>
    </row>
    <row r="274">
      <c r="A274" t="inlineStr">
        <is>
          <t>No</t>
        </is>
      </c>
      <c r="B274" t="inlineStr">
        <is>
          <t>mine = coal company's tender in West Bengal; named mine/plant is far</t>
        </is>
      </c>
      <c r="C274" t="inlineStr"/>
      <c r="E274" t="inlineStr"/>
      <c r="H274" t="inlineStr">
        <is>
          <t>14118126</t>
        </is>
      </c>
      <c r="I274" t="inlineStr">
        <is>
          <t>GEM/2025/B/6310435</t>
        </is>
      </c>
      <c r="J274" t="inlineStr">
        <is>
          <t>loading, crushing &amp; transp</t>
        </is>
      </c>
      <c r="K274" t="inlineStr">
        <is>
          <t>Loading / handling / crushing</t>
        </is>
      </c>
      <c r="L274" t="inlineStr">
        <is>
          <t>Eastern Coal Fields Limited</t>
        </is>
      </c>
      <c r="M274" t="inlineStr">
        <is>
          <t>West Bengal</t>
        </is>
      </c>
      <c r="N274" t="inlineStr">
        <is>
          <t>Bardhaman</t>
        </is>
      </c>
      <c r="O274" s="5" t="n">
        <v>45822</v>
      </c>
      <c r="P274" t="inlineStr">
        <is>
          <t>AOC</t>
        </is>
      </c>
      <c r="Q274" t="inlineStr">
        <is>
          <t>M/S United Coal Carriers</t>
        </is>
      </c>
      <c r="R274" t="inlineStr">
        <is>
          <t>United Coal Carriers</t>
        </is>
      </c>
      <c r="S274" t="inlineStr">
        <is>
          <t>4 named / 4</t>
        </is>
      </c>
      <c r="T274" t="n">
        <v>2.55</v>
      </c>
      <c r="U274" s="6">
        <f>IF(ISNUMBER(G274),MAX(MAX(G274,Settings!$B$13)*Settings!$B$7*Settings!$B$5,IF(ISNUMBER(Settings!$B$12),Settings!$B$12,0))*(1+IF(Settings!$B$11="Y",0,Settings!$B$10/100))+N(Settings!$B$9),"")</f>
        <v/>
      </c>
      <c r="W274" s="6">
        <f>IF(ISNUMBER(V274),IF(V274*Settings!$B$8&gt;1000,"beyond table",IFERROR(LOOKUP(V274*Settings!$B$8,'FOIS 145A'!$A$2:$A$22,'FOIS 145A'!$C$2:$C$22)*(1+IF(Settings!$B$11="Y",0,Settings!$B$10/100)),"")),"")</f>
        <v/>
      </c>
      <c r="X274" s="6">
        <f>IF(AND(ISNUMBER(U274),ISNUMBER(W274)),U274+W274,"")</f>
        <v/>
      </c>
      <c r="Y274">
        <f>Settings!$B$6</f>
        <v/>
      </c>
    </row>
    <row r="275">
      <c r="A275" t="inlineStr">
        <is>
          <t>No</t>
        </is>
      </c>
      <c r="B275" t="inlineStr">
        <is>
          <t>plant = tender city in West Bengal; named mine/plant is far</t>
        </is>
      </c>
      <c r="C275" t="inlineStr"/>
      <c r="E275" t="inlineStr"/>
      <c r="H275" t="inlineStr">
        <is>
          <t>13461457</t>
        </is>
      </c>
      <c r="I275" t="inlineStr">
        <is>
          <t>2025_WBPDC_830354_1</t>
        </is>
      </c>
      <c r="J275" t="inlineStr">
        <is>
          <t>contract for operation of rake movement and unloading of coal from n-box and bobr wagons for two years at chp, ktps</t>
        </is>
      </c>
      <c r="K275" t="inlineStr">
        <is>
          <t>Loading / handling / crushing</t>
        </is>
      </c>
      <c r="L275" t="inlineStr">
        <is>
          <t>West Bengal Power Development Corporation Limited</t>
        </is>
      </c>
      <c r="M275" t="inlineStr">
        <is>
          <t>West Bengal</t>
        </is>
      </c>
      <c r="N275" t="inlineStr">
        <is>
          <t>Midnapore</t>
        </is>
      </c>
      <c r="O275" s="5" t="n">
        <v>45780</v>
      </c>
      <c r="P275" t="inlineStr">
        <is>
          <t>AOC</t>
        </is>
      </c>
      <c r="Q275" t="inlineStr">
        <is>
          <t>Project Construction Services</t>
        </is>
      </c>
      <c r="R275" t="inlineStr">
        <is>
          <t>Godavari Commodities</t>
        </is>
      </c>
      <c r="S275" t="inlineStr">
        <is>
          <t>3 named / 3</t>
        </is>
      </c>
      <c r="T275" t="n">
        <v>4.54</v>
      </c>
      <c r="U275" s="6">
        <f>IF(ISNUMBER(G275),MAX(MAX(G275,Settings!$B$13)*Settings!$B$7*Settings!$B$5,IF(ISNUMBER(Settings!$B$12),Settings!$B$12,0))*(1+IF(Settings!$B$11="Y",0,Settings!$B$10/100))+N(Settings!$B$9),"")</f>
        <v/>
      </c>
      <c r="W275" s="6">
        <f>IF(ISNUMBER(V275),IF(V275*Settings!$B$8&gt;1000,"beyond table",IFERROR(LOOKUP(V275*Settings!$B$8,'FOIS 145A'!$A$2:$A$22,'FOIS 145A'!$C$2:$C$22)*(1+IF(Settings!$B$11="Y",0,Settings!$B$10/100)),"")),"")</f>
        <v/>
      </c>
      <c r="X275" s="6">
        <f>IF(AND(ISNUMBER(U275),ISNUMBER(W275)),U275+W275,"")</f>
        <v/>
      </c>
      <c r="Y275">
        <f>Settings!$B$6</f>
        <v/>
      </c>
    </row>
    <row r="276">
      <c r="A276" t="inlineStr">
        <is>
          <t>No</t>
        </is>
      </c>
      <c r="B276" t="inlineStr">
        <is>
          <t>plant = tender city in Madhya Pradesh; named mine/plant is far</t>
        </is>
      </c>
      <c r="C276" t="inlineStr"/>
      <c r="E276" t="inlineStr"/>
      <c r="H276" t="inlineStr">
        <is>
          <t>13308953</t>
        </is>
      </c>
      <c r="I276" t="inlineStr">
        <is>
          <t>2025_JPL_230047_1</t>
        </is>
      </c>
      <c r="J276" t="inlineStr">
        <is>
          <t>linakge coal coordination and loading direct rail mode</t>
        </is>
      </c>
      <c r="K276" t="inlineStr">
        <is>
          <t>Loading / handling / crushing</t>
        </is>
      </c>
      <c r="L276" t="inlineStr">
        <is>
          <t>Jhabua Power Limited</t>
        </is>
      </c>
      <c r="M276" t="inlineStr">
        <is>
          <t>Madhya Pradesh</t>
        </is>
      </c>
      <c r="N276" t="inlineStr">
        <is>
          <t>Seoni</t>
        </is>
      </c>
      <c r="O276" s="5" t="n">
        <v>45752</v>
      </c>
      <c r="P276" t="inlineStr">
        <is>
          <t>Financial</t>
        </is>
      </c>
      <c r="Q276" t="inlineStr">
        <is>
          <t>-</t>
        </is>
      </c>
      <c r="R276" t="inlineStr">
        <is>
          <t>Godavari Commodities</t>
        </is>
      </c>
      <c r="S276" t="inlineStr">
        <is>
          <t>5 named / 15</t>
        </is>
      </c>
      <c r="U276" s="6">
        <f>IF(ISNUMBER(G276),MAX(MAX(G276,Settings!$B$13)*Settings!$B$7*Settings!$B$5,IF(ISNUMBER(Settings!$B$12),Settings!$B$12,0))*(1+IF(Settings!$B$11="Y",0,Settings!$B$10/100))+N(Settings!$B$9),"")</f>
        <v/>
      </c>
      <c r="W276" s="6">
        <f>IF(ISNUMBER(V276),IF(V276*Settings!$B$8&gt;1000,"beyond table",IFERROR(LOOKUP(V276*Settings!$B$8,'FOIS 145A'!$A$2:$A$22,'FOIS 145A'!$C$2:$C$22)*(1+IF(Settings!$B$11="Y",0,Settings!$B$10/100)),"")),"")</f>
        <v/>
      </c>
      <c r="X276" s="6">
        <f>IF(AND(ISNUMBER(U276),ISNUMBER(W276)),U276+W276,"")</f>
        <v/>
      </c>
      <c r="Y276">
        <f>Settings!$B$6</f>
        <v/>
      </c>
    </row>
    <row r="277">
      <c r="A277" t="inlineStr">
        <is>
          <t>No</t>
        </is>
      </c>
      <c r="B277" t="inlineStr">
        <is>
          <t>plant = tender city in Uttar Pradesh; named mine/plant is far</t>
        </is>
      </c>
      <c r="C277" t="inlineStr"/>
      <c r="E277" t="inlineStr"/>
      <c r="H277" t="inlineStr">
        <is>
          <t>13179167</t>
        </is>
      </c>
      <c r="I277" t="inlineStr">
        <is>
          <t>GEM/2025/B/5992250</t>
        </is>
      </c>
      <c r="J277" t="inlineStr">
        <is>
          <t>hiring of hmvs for handling shifting coal and other material at ntpc sing</t>
        </is>
      </c>
      <c r="K277" t="inlineStr">
        <is>
          <t>Loading / handling / crushing</t>
        </is>
      </c>
      <c r="L277" t="inlineStr">
        <is>
          <t>National Thermal Power Corporation Limited</t>
        </is>
      </c>
      <c r="M277" t="inlineStr">
        <is>
          <t>Uttar Pradesh</t>
        </is>
      </c>
      <c r="N277" t="inlineStr">
        <is>
          <t>Sonebhadra</t>
        </is>
      </c>
      <c r="O277" s="5" t="n">
        <v>45734</v>
      </c>
      <c r="P277" t="inlineStr">
        <is>
          <t>AOC</t>
        </is>
      </c>
      <c r="Q277" t="inlineStr">
        <is>
          <t>Ar Crane Service And Engineering Works</t>
        </is>
      </c>
      <c r="R277" t="inlineStr"/>
      <c r="S277" t="inlineStr">
        <is>
          <t>5 named / 10</t>
        </is>
      </c>
      <c r="T277" t="n">
        <v>2.01</v>
      </c>
      <c r="U277" s="6">
        <f>IF(ISNUMBER(G277),MAX(MAX(G277,Settings!$B$13)*Settings!$B$7*Settings!$B$5,IF(ISNUMBER(Settings!$B$12),Settings!$B$12,0))*(1+IF(Settings!$B$11="Y",0,Settings!$B$10/100))+N(Settings!$B$9),"")</f>
        <v/>
      </c>
      <c r="W277" s="6">
        <f>IF(ISNUMBER(V277),IF(V277*Settings!$B$8&gt;1000,"beyond table",IFERROR(LOOKUP(V277*Settings!$B$8,'FOIS 145A'!$A$2:$A$22,'FOIS 145A'!$C$2:$C$22)*(1+IF(Settings!$B$11="Y",0,Settings!$B$10/100)),"")),"")</f>
        <v/>
      </c>
      <c r="X277" s="6">
        <f>IF(AND(ISNUMBER(U277),ISNUMBER(W277)),U277+W277,"")</f>
        <v/>
      </c>
      <c r="Y277">
        <f>Settings!$B$6</f>
        <v/>
      </c>
    </row>
    <row r="278">
      <c r="A278" t="inlineStr">
        <is>
          <t>No</t>
        </is>
      </c>
      <c r="B278" t="inlineStr">
        <is>
          <t>mine = coal company's tender in Jharkhand; named mine/plant is far</t>
        </is>
      </c>
      <c r="C278" t="inlineStr"/>
      <c r="E278" t="inlineStr"/>
      <c r="H278" t="inlineStr">
        <is>
          <t>17939820</t>
        </is>
      </c>
      <c r="I278" t="inlineStr">
        <is>
          <t>GEM/2026/B/7718705</t>
        </is>
      </c>
      <c r="J278" t="inlineStr">
        <is>
          <t>handling service, transport service, handling &amp; transport service, ob removal, coal extraction, hiring of hemm for ob and extraction of coal in the lower seams of sdoc mine of d..</t>
        </is>
      </c>
      <c r="K278" t="inlineStr">
        <is>
          <t>Mining services (OB / extraction)</t>
        </is>
      </c>
      <c r="L278" t="inlineStr">
        <is>
          <t>Central Coalfields Limited</t>
        </is>
      </c>
      <c r="M278" t="inlineStr">
        <is>
          <t>Jharkhand</t>
        </is>
      </c>
      <c r="N278" t="inlineStr">
        <is>
          <t>Bokaro</t>
        </is>
      </c>
      <c r="O278" s="5" t="n">
        <v>46216</v>
      </c>
      <c r="P278" t="inlineStr">
        <is>
          <t>Financial</t>
        </is>
      </c>
      <c r="Q278" t="inlineStr">
        <is>
          <t>-</t>
        </is>
      </c>
      <c r="R278" t="inlineStr"/>
      <c r="S278" t="inlineStr">
        <is>
          <t>5 named / 14</t>
        </is>
      </c>
      <c r="U278" s="6">
        <f>IF(ISNUMBER(G278),MAX(MAX(G278,Settings!$B$13)*Settings!$B$7*Settings!$B$5,IF(ISNUMBER(Settings!$B$12),Settings!$B$12,0))*(1+IF(Settings!$B$11="Y",0,Settings!$B$10/100))+N(Settings!$B$9),"")</f>
        <v/>
      </c>
      <c r="W278" s="6">
        <f>IF(ISNUMBER(V278),IF(V278*Settings!$B$8&gt;1000,"beyond table",IFERROR(LOOKUP(V278*Settings!$B$8,'FOIS 145A'!$A$2:$A$22,'FOIS 145A'!$C$2:$C$22)*(1+IF(Settings!$B$11="Y",0,Settings!$B$10/100)),"")),"")</f>
        <v/>
      </c>
      <c r="X278" s="6">
        <f>IF(AND(ISNUMBER(U278),ISNUMBER(W278)),U278+W278,"")</f>
        <v/>
      </c>
      <c r="Y278">
        <f>Settings!$B$6</f>
        <v/>
      </c>
    </row>
    <row r="279">
      <c r="A279" t="inlineStr">
        <is>
          <t>No</t>
        </is>
      </c>
      <c r="B279" t="inlineStr">
        <is>
          <t>named mine/plant is far</t>
        </is>
      </c>
      <c r="C279" t="inlineStr"/>
      <c r="E279" t="inlineStr"/>
      <c r="H279" t="inlineStr">
        <is>
          <t>17893585</t>
        </is>
      </c>
      <c r="I279" t="inlineStr">
        <is>
          <t>GEM/2026/B/7564648</t>
        </is>
      </c>
      <c r="J279" t="inlineStr">
        <is>
          <t>handling &amp; transport service, ob removal, coal extraction, hoe works at gadegaon oc mine of wani area</t>
        </is>
      </c>
      <c r="K279" t="inlineStr">
        <is>
          <t>Mining services (OB / extraction)</t>
        </is>
      </c>
      <c r="L279" t="inlineStr">
        <is>
          <t>Western Coalfields Limited</t>
        </is>
      </c>
      <c r="M279" t="inlineStr">
        <is>
          <t>Maharashtra</t>
        </is>
      </c>
      <c r="N279" t="inlineStr">
        <is>
          <t>Chandrapur</t>
        </is>
      </c>
      <c r="O279" s="5" t="n">
        <v>46198</v>
      </c>
      <c r="P279" t="inlineStr">
        <is>
          <t>Financial</t>
        </is>
      </c>
      <c r="Q279" t="inlineStr">
        <is>
          <t>-</t>
        </is>
      </c>
      <c r="R279" t="inlineStr"/>
      <c r="S279" t="inlineStr">
        <is>
          <t>5 named / 13</t>
        </is>
      </c>
      <c r="U279" s="6">
        <f>IF(ISNUMBER(G279),MAX(MAX(G279,Settings!$B$13)*Settings!$B$7*Settings!$B$5,IF(ISNUMBER(Settings!$B$12),Settings!$B$12,0))*(1+IF(Settings!$B$11="Y",0,Settings!$B$10/100))+N(Settings!$B$9),"")</f>
        <v/>
      </c>
      <c r="W279" s="6">
        <f>IF(ISNUMBER(V279),IF(V279*Settings!$B$8&gt;1000,"beyond table",IFERROR(LOOKUP(V279*Settings!$B$8,'FOIS 145A'!$A$2:$A$22,'FOIS 145A'!$C$2:$C$22)*(1+IF(Settings!$B$11="Y",0,Settings!$B$10/100)),"")),"")</f>
        <v/>
      </c>
      <c r="X279" s="6">
        <f>IF(AND(ISNUMBER(U279),ISNUMBER(W279)),U279+W279,"")</f>
        <v/>
      </c>
      <c r="Y279">
        <f>Settings!$B$6</f>
        <v/>
      </c>
    </row>
    <row r="280">
      <c r="A280" t="inlineStr">
        <is>
          <t>No</t>
        </is>
      </c>
      <c r="B280" t="inlineStr">
        <is>
          <t>named mine/plant is far</t>
        </is>
      </c>
      <c r="C280" t="inlineStr"/>
      <c r="E280" t="inlineStr"/>
      <c r="H280" t="inlineStr">
        <is>
          <t>17754039</t>
        </is>
      </c>
      <c r="I280" t="inlineStr">
        <is>
          <t>GEM/2026/B/7575176</t>
        </is>
      </c>
      <c r="J280" t="inlineStr">
        <is>
          <t>coal extraction, ob removal, handling &amp; transport service, hoe works by deploying blast free technology such as ripper or similar nature of equipment at ghonsa expansion deep oc..</t>
        </is>
      </c>
      <c r="K280" t="inlineStr">
        <is>
          <t>Mining services (OB / extraction)</t>
        </is>
      </c>
      <c r="L280" t="inlineStr">
        <is>
          <t>Western Coalfields Limited</t>
        </is>
      </c>
      <c r="M280" t="inlineStr">
        <is>
          <t>Maharashtra</t>
        </is>
      </c>
      <c r="N280" t="inlineStr">
        <is>
          <t>Yavatmal</t>
        </is>
      </c>
      <c r="O280" s="5" t="n">
        <v>46192</v>
      </c>
      <c r="P280" t="inlineStr">
        <is>
          <t>AOC</t>
        </is>
      </c>
      <c r="Q280" t="inlineStr">
        <is>
          <t>Kvrr Infrastructure Private Limited</t>
        </is>
      </c>
      <c r="R280" t="inlineStr"/>
      <c r="S280" t="inlineStr">
        <is>
          <t>4 named / 4</t>
        </is>
      </c>
      <c r="T280" t="n">
        <v>75.5</v>
      </c>
      <c r="U280" s="6">
        <f>IF(ISNUMBER(G280),MAX(MAX(G280,Settings!$B$13)*Settings!$B$7*Settings!$B$5,IF(ISNUMBER(Settings!$B$12),Settings!$B$12,0))*(1+IF(Settings!$B$11="Y",0,Settings!$B$10/100))+N(Settings!$B$9),"")</f>
        <v/>
      </c>
      <c r="W280" s="6">
        <f>IF(ISNUMBER(V280),IF(V280*Settings!$B$8&gt;1000,"beyond table",IFERROR(LOOKUP(V280*Settings!$B$8,'FOIS 145A'!$A$2:$A$22,'FOIS 145A'!$C$2:$C$22)*(1+IF(Settings!$B$11="Y",0,Settings!$B$10/100)),"")),"")</f>
        <v/>
      </c>
      <c r="X280" s="6">
        <f>IF(AND(ISNUMBER(U280),ISNUMBER(W280)),U280+W280,"")</f>
        <v/>
      </c>
      <c r="Y280">
        <f>Settings!$B$6</f>
        <v/>
      </c>
    </row>
    <row r="281">
      <c r="A281" t="inlineStr">
        <is>
          <t>No</t>
        </is>
      </c>
      <c r="B281" t="inlineStr">
        <is>
          <t>mine = coal company's tender in West Bengal; named mine/plant is far</t>
        </is>
      </c>
      <c r="C281" t="inlineStr"/>
      <c r="E281" t="inlineStr"/>
      <c r="H281" t="inlineStr">
        <is>
          <t>17342309</t>
        </is>
      </c>
      <c r="I281" t="inlineStr">
        <is>
          <t>GEM/2026/B/7349884</t>
        </is>
      </c>
      <c r="J281" t="inlineStr">
        <is>
          <t>coal extraction, overburden removal, overburden rehandling, dewatering and additional coal extraction by highwall mining</t>
        </is>
      </c>
      <c r="K281" t="inlineStr">
        <is>
          <t>Mining services (OB / extraction)</t>
        </is>
      </c>
      <c r="L281" t="inlineStr">
        <is>
          <t>Eastern Coal Fields Limited</t>
        </is>
      </c>
      <c r="M281" t="inlineStr">
        <is>
          <t>West Bengal</t>
        </is>
      </c>
      <c r="N281" t="inlineStr">
        <is>
          <t>Bardhaman</t>
        </is>
      </c>
      <c r="O281" s="5" t="n">
        <v>46121</v>
      </c>
      <c r="P281" t="inlineStr">
        <is>
          <t>AOC</t>
        </is>
      </c>
      <c r="Q281" t="inlineStr">
        <is>
          <t>United Coal Carriers</t>
        </is>
      </c>
      <c r="R281" t="inlineStr"/>
      <c r="S281" t="inlineStr">
        <is>
          <t>5 named / 8</t>
        </is>
      </c>
      <c r="T281" t="n">
        <v>450.99</v>
      </c>
      <c r="U281" s="6">
        <f>IF(ISNUMBER(G281),MAX(MAX(G281,Settings!$B$13)*Settings!$B$7*Settings!$B$5,IF(ISNUMBER(Settings!$B$12),Settings!$B$12,0))*(1+IF(Settings!$B$11="Y",0,Settings!$B$10/100))+N(Settings!$B$9),"")</f>
        <v/>
      </c>
      <c r="W281" s="6">
        <f>IF(ISNUMBER(V281),IF(V281*Settings!$B$8&gt;1000,"beyond table",IFERROR(LOOKUP(V281*Settings!$B$8,'FOIS 145A'!$A$2:$A$22,'FOIS 145A'!$C$2:$C$22)*(1+IF(Settings!$B$11="Y",0,Settings!$B$10/100)),"")),"")</f>
        <v/>
      </c>
      <c r="X281" s="6">
        <f>IF(AND(ISNUMBER(U281),ISNUMBER(W281)),U281+W281,"")</f>
        <v/>
      </c>
      <c r="Y281">
        <f>Settings!$B$6</f>
        <v/>
      </c>
    </row>
    <row r="282">
      <c r="A282" t="inlineStr">
        <is>
          <t>No</t>
        </is>
      </c>
      <c r="B282" t="inlineStr">
        <is>
          <t>named mine/plant is far</t>
        </is>
      </c>
      <c r="C282" t="inlineStr"/>
      <c r="E282" t="inlineStr"/>
      <c r="H282" t="inlineStr">
        <is>
          <t>17489130</t>
        </is>
      </c>
      <c r="I282" t="inlineStr">
        <is>
          <t>GEM/2026/B/7372231</t>
        </is>
      </c>
      <c r="J282" t="inlineStr">
        <is>
          <t>ob removal, coal extraction, hoe works at kolgaon expansion deep oc mine of wani area</t>
        </is>
      </c>
      <c r="K282" t="inlineStr">
        <is>
          <t>Mining services (OB / extraction)</t>
        </is>
      </c>
      <c r="L282" t="inlineStr">
        <is>
          <t>Western Coalfields Limited</t>
        </is>
      </c>
      <c r="M282" t="inlineStr">
        <is>
          <t>Maharashtra</t>
        </is>
      </c>
      <c r="N282" t="inlineStr">
        <is>
          <t>Chandrapur</t>
        </is>
      </c>
      <c r="O282" s="5" t="n">
        <v>46118</v>
      </c>
      <c r="P282" t="inlineStr">
        <is>
          <t>AOC</t>
        </is>
      </c>
      <c r="Q282" t="inlineStr">
        <is>
          <t>Kvrr Infrastructure Private Limited</t>
        </is>
      </c>
      <c r="R282" t="inlineStr"/>
      <c r="S282" t="inlineStr">
        <is>
          <t>5 named / 16</t>
        </is>
      </c>
      <c r="T282" t="n">
        <v>194.73</v>
      </c>
      <c r="U282" s="6">
        <f>IF(ISNUMBER(G282),MAX(MAX(G282,Settings!$B$13)*Settings!$B$7*Settings!$B$5,IF(ISNUMBER(Settings!$B$12),Settings!$B$12,0))*(1+IF(Settings!$B$11="Y",0,Settings!$B$10/100))+N(Settings!$B$9),"")</f>
        <v/>
      </c>
      <c r="W282" s="6">
        <f>IF(ISNUMBER(V282),IF(V282*Settings!$B$8&gt;1000,"beyond table",IFERROR(LOOKUP(V282*Settings!$B$8,'FOIS 145A'!$A$2:$A$22,'FOIS 145A'!$C$2:$C$22)*(1+IF(Settings!$B$11="Y",0,Settings!$B$10/100)),"")),"")</f>
        <v/>
      </c>
      <c r="X282" s="6">
        <f>IF(AND(ISNUMBER(U282),ISNUMBER(W282)),U282+W282,"")</f>
        <v/>
      </c>
      <c r="Y282">
        <f>Settings!$B$6</f>
        <v/>
      </c>
    </row>
    <row r="283">
      <c r="A283" t="inlineStr">
        <is>
          <t>No</t>
        </is>
      </c>
      <c r="B283" t="inlineStr">
        <is>
          <t>named mine/plant is far</t>
        </is>
      </c>
      <c r="C283" t="inlineStr"/>
      <c r="E283" t="inlineStr"/>
      <c r="H283" t="inlineStr">
        <is>
          <t>17230528</t>
        </is>
      </c>
      <c r="I283" t="inlineStr">
        <is>
          <t>GEM/2026/B/7280559</t>
        </is>
      </c>
      <c r="J283" t="inlineStr">
        <is>
          <t>ob removal, coal extraction, hoe work at makardhokda i expn oc mine of umrer area, wcl</t>
        </is>
      </c>
      <c r="K283" t="inlineStr">
        <is>
          <t>Mining services (OB / extraction)</t>
        </is>
      </c>
      <c r="L283" t="inlineStr">
        <is>
          <t>Western Coalfields Limited</t>
        </is>
      </c>
      <c r="M283" t="inlineStr">
        <is>
          <t>Maharashtra</t>
        </is>
      </c>
      <c r="N283" t="inlineStr">
        <is>
          <t>Nagpur</t>
        </is>
      </c>
      <c r="O283" s="5" t="n">
        <v>46093</v>
      </c>
      <c r="P283" t="inlineStr">
        <is>
          <t>Financial</t>
        </is>
      </c>
      <c r="Q283" t="inlineStr">
        <is>
          <t>-</t>
        </is>
      </c>
      <c r="R283" t="inlineStr">
        <is>
          <t>Caliber Mining and Logistics</t>
        </is>
      </c>
      <c r="S283" t="inlineStr">
        <is>
          <t>5 named / 10</t>
        </is>
      </c>
      <c r="U283" s="6">
        <f>IF(ISNUMBER(G283),MAX(MAX(G283,Settings!$B$13)*Settings!$B$7*Settings!$B$5,IF(ISNUMBER(Settings!$B$12),Settings!$B$12,0))*(1+IF(Settings!$B$11="Y",0,Settings!$B$10/100))+N(Settings!$B$9),"")</f>
        <v/>
      </c>
      <c r="W283" s="6">
        <f>IF(ISNUMBER(V283),IF(V283*Settings!$B$8&gt;1000,"beyond table",IFERROR(LOOKUP(V283*Settings!$B$8,'FOIS 145A'!$A$2:$A$22,'FOIS 145A'!$C$2:$C$22)*(1+IF(Settings!$B$11="Y",0,Settings!$B$10/100)),"")),"")</f>
        <v/>
      </c>
      <c r="X283" s="6">
        <f>IF(AND(ISNUMBER(U283),ISNUMBER(W283)),U283+W283,"")</f>
        <v/>
      </c>
      <c r="Y283">
        <f>Settings!$B$6</f>
        <v/>
      </c>
    </row>
    <row r="284">
      <c r="A284" t="inlineStr">
        <is>
          <t>No</t>
        </is>
      </c>
      <c r="B284" t="inlineStr">
        <is>
          <t>named mine/plant is far</t>
        </is>
      </c>
      <c r="C284" t="inlineStr"/>
      <c r="E284" t="inlineStr"/>
      <c r="H284" t="inlineStr">
        <is>
          <t>17155019</t>
        </is>
      </c>
      <c r="I284" t="inlineStr">
        <is>
          <t>GEM/2026/B/7264482</t>
        </is>
      </c>
      <c r="J284" t="inlineStr">
        <is>
          <t>ob removal, coal extraction, hoe work at kolarpimpri ocm of wani north area wcl</t>
        </is>
      </c>
      <c r="K284" t="inlineStr">
        <is>
          <t>Mining services (OB / extraction)</t>
        </is>
      </c>
      <c r="L284" t="inlineStr">
        <is>
          <t>Western Coalfields Limited</t>
        </is>
      </c>
      <c r="M284" t="inlineStr">
        <is>
          <t>Maharashtra</t>
        </is>
      </c>
      <c r="N284" t="inlineStr">
        <is>
          <t>Yavatmal</t>
        </is>
      </c>
      <c r="O284" s="5" t="n">
        <v>46090</v>
      </c>
      <c r="P284" t="inlineStr">
        <is>
          <t>AOC</t>
        </is>
      </c>
      <c r="Q284" t="inlineStr">
        <is>
          <t>Menakshi Con</t>
        </is>
      </c>
      <c r="R284" t="inlineStr">
        <is>
          <t>Caliber Mining and Logistics, G K Associates</t>
        </is>
      </c>
      <c r="S284" t="inlineStr">
        <is>
          <t>5 named / 14</t>
        </is>
      </c>
      <c r="T284" t="n">
        <v>380.64</v>
      </c>
      <c r="U284" s="6">
        <f>IF(ISNUMBER(G284),MAX(MAX(G284,Settings!$B$13)*Settings!$B$7*Settings!$B$5,IF(ISNUMBER(Settings!$B$12),Settings!$B$12,0))*(1+IF(Settings!$B$11="Y",0,Settings!$B$10/100))+N(Settings!$B$9),"")</f>
        <v/>
      </c>
      <c r="W284" s="6">
        <f>IF(ISNUMBER(V284),IF(V284*Settings!$B$8&gt;1000,"beyond table",IFERROR(LOOKUP(V284*Settings!$B$8,'FOIS 145A'!$A$2:$A$22,'FOIS 145A'!$C$2:$C$22)*(1+IF(Settings!$B$11="Y",0,Settings!$B$10/100)),"")),"")</f>
        <v/>
      </c>
      <c r="X284" s="6">
        <f>IF(AND(ISNUMBER(U284),ISNUMBER(W284)),U284+W284,"")</f>
        <v/>
      </c>
      <c r="Y284">
        <f>Settings!$B$6</f>
        <v/>
      </c>
    </row>
    <row r="285">
      <c r="A285" t="inlineStr">
        <is>
          <t>No</t>
        </is>
      </c>
      <c r="B285" t="inlineStr">
        <is>
          <t>named mine/plant is far</t>
        </is>
      </c>
      <c r="C285" t="inlineStr"/>
      <c r="E285" t="inlineStr"/>
      <c r="H285" t="inlineStr">
        <is>
          <t>16954187</t>
        </is>
      </c>
      <c r="I285" t="inlineStr">
        <is>
          <t>GEM/2026/B/7238355</t>
        </is>
      </c>
      <c r="J285" t="inlineStr">
        <is>
          <t>ob removal, coal extraction, hoe work at makardhokda iii oc mine of umrer area wcl</t>
        </is>
      </c>
      <c r="K285" t="inlineStr">
        <is>
          <t>Mining services (OB / extraction)</t>
        </is>
      </c>
      <c r="L285" t="inlineStr">
        <is>
          <t>Western Coalfields Limited</t>
        </is>
      </c>
      <c r="M285" t="inlineStr">
        <is>
          <t>Maharashtra</t>
        </is>
      </c>
      <c r="N285" t="inlineStr">
        <is>
          <t>Nagpur</t>
        </is>
      </c>
      <c r="O285" s="5" t="n">
        <v>46083</v>
      </c>
      <c r="P285" t="inlineStr">
        <is>
          <t>AOC</t>
        </is>
      </c>
      <c r="Q285" t="inlineStr">
        <is>
          <t>M/S Karam Singh And Company</t>
        </is>
      </c>
      <c r="R285" t="inlineStr">
        <is>
          <t>Caliber Mining and Logistics</t>
        </is>
      </c>
      <c r="S285" t="inlineStr">
        <is>
          <t>5 named / 20</t>
        </is>
      </c>
      <c r="T285" t="n">
        <v>1396.33</v>
      </c>
      <c r="U285" s="6">
        <f>IF(ISNUMBER(G285),MAX(MAX(G285,Settings!$B$13)*Settings!$B$7*Settings!$B$5,IF(ISNUMBER(Settings!$B$12),Settings!$B$12,0))*(1+IF(Settings!$B$11="Y",0,Settings!$B$10/100))+N(Settings!$B$9),"")</f>
        <v/>
      </c>
      <c r="W285" s="6">
        <f>IF(ISNUMBER(V285),IF(V285*Settings!$B$8&gt;1000,"beyond table",IFERROR(LOOKUP(V285*Settings!$B$8,'FOIS 145A'!$A$2:$A$22,'FOIS 145A'!$C$2:$C$22)*(1+IF(Settings!$B$11="Y",0,Settings!$B$10/100)),"")),"")</f>
        <v/>
      </c>
      <c r="X285" s="6">
        <f>IF(AND(ISNUMBER(U285),ISNUMBER(W285)),U285+W285,"")</f>
        <v/>
      </c>
      <c r="Y285">
        <f>Settings!$B$6</f>
        <v/>
      </c>
    </row>
    <row r="286">
      <c r="A286" t="inlineStr">
        <is>
          <t>No</t>
        </is>
      </c>
      <c r="B286" t="inlineStr">
        <is>
          <t>mine = coal company's tender in Maharashtra; named mine/plant is far</t>
        </is>
      </c>
      <c r="C286" t="inlineStr"/>
      <c r="E286" t="inlineStr"/>
      <c r="H286" t="inlineStr">
        <is>
          <t>16954202</t>
        </is>
      </c>
      <c r="I286" t="inlineStr">
        <is>
          <t>GEM/2026/B/7238094</t>
        </is>
      </c>
      <c r="J286" t="inlineStr">
        <is>
          <t>ob removal, coal extraction, hoe work at dhoptala (sasti ug to oc) mine of ballarpur area wcl</t>
        </is>
      </c>
      <c r="K286" t="inlineStr">
        <is>
          <t>Mining services (OB / extraction)</t>
        </is>
      </c>
      <c r="L286" t="inlineStr">
        <is>
          <t>Western Coalfields Limited</t>
        </is>
      </c>
      <c r="M286" t="inlineStr">
        <is>
          <t>Maharashtra</t>
        </is>
      </c>
      <c r="N286" t="inlineStr">
        <is>
          <t>Chandrapur</t>
        </is>
      </c>
      <c r="O286" s="5" t="n">
        <v>46083</v>
      </c>
      <c r="P286" t="inlineStr">
        <is>
          <t>AOC</t>
        </is>
      </c>
      <c r="Q286" t="inlineStr">
        <is>
          <t>Caliber Mining And Logistics Limited</t>
        </is>
      </c>
      <c r="R286" t="inlineStr">
        <is>
          <t>Caliber Mining and Logistics</t>
        </is>
      </c>
      <c r="S286" t="inlineStr">
        <is>
          <t>5 named / 14</t>
        </is>
      </c>
      <c r="T286" t="n">
        <v>1035.58</v>
      </c>
      <c r="U286" s="6">
        <f>IF(ISNUMBER(G286),MAX(MAX(G286,Settings!$B$13)*Settings!$B$7*Settings!$B$5,IF(ISNUMBER(Settings!$B$12),Settings!$B$12,0))*(1+IF(Settings!$B$11="Y",0,Settings!$B$10/100))+N(Settings!$B$9),"")</f>
        <v/>
      </c>
      <c r="W286" s="6">
        <f>IF(ISNUMBER(V286),IF(V286*Settings!$B$8&gt;1000,"beyond table",IFERROR(LOOKUP(V286*Settings!$B$8,'FOIS 145A'!$A$2:$A$22,'FOIS 145A'!$C$2:$C$22)*(1+IF(Settings!$B$11="Y",0,Settings!$B$10/100)),"")),"")</f>
        <v/>
      </c>
      <c r="X286" s="6">
        <f>IF(AND(ISNUMBER(U286),ISNUMBER(W286)),U286+W286,"")</f>
        <v/>
      </c>
      <c r="Y286">
        <f>Settings!$B$6</f>
        <v/>
      </c>
    </row>
    <row r="287">
      <c r="A287" t="inlineStr">
        <is>
          <t>No</t>
        </is>
      </c>
      <c r="B287" t="inlineStr">
        <is>
          <t>mine = coal company's tender in Jharkhand; named mine/plant is far</t>
        </is>
      </c>
      <c r="C287" t="inlineStr"/>
      <c r="E287" t="inlineStr"/>
      <c r="H287" t="inlineStr">
        <is>
          <t>16522259</t>
        </is>
      </c>
      <c r="I287" t="inlineStr">
        <is>
          <t>GEM/2025/B/7022582</t>
        </is>
      </c>
      <c r="J287" t="inlineStr">
        <is>
          <t>handling &amp; transport service, ob removal, coal extraction, handling service, transport service, hiring of hemm for removal of in-situ ob and extraction and transportation of coa..</t>
        </is>
      </c>
      <c r="K287" t="inlineStr">
        <is>
          <t>Mining services (OB / extraction)</t>
        </is>
      </c>
      <c r="L287" t="inlineStr">
        <is>
          <t>Bharat Coking Coal Limited</t>
        </is>
      </c>
      <c r="M287" t="inlineStr">
        <is>
          <t>Jharkhand</t>
        </is>
      </c>
      <c r="N287" t="inlineStr">
        <is>
          <t>Dhanbad</t>
        </is>
      </c>
      <c r="O287" s="5" t="n">
        <v>46031</v>
      </c>
      <c r="P287" t="inlineStr">
        <is>
          <t>AOC</t>
        </is>
      </c>
      <c r="Q287" t="inlineStr">
        <is>
          <t>Bla Infrastructure Private Limited</t>
        </is>
      </c>
      <c r="R287" t="inlineStr">
        <is>
          <t>United Coal Carriers</t>
        </is>
      </c>
      <c r="S287" t="inlineStr">
        <is>
          <t>5 named / 7</t>
        </is>
      </c>
      <c r="T287" t="n">
        <v>126.83</v>
      </c>
      <c r="U287" s="6">
        <f>IF(ISNUMBER(G287),MAX(MAX(G287,Settings!$B$13)*Settings!$B$7*Settings!$B$5,IF(ISNUMBER(Settings!$B$12),Settings!$B$12,0))*(1+IF(Settings!$B$11="Y",0,Settings!$B$10/100))+N(Settings!$B$9),"")</f>
        <v/>
      </c>
      <c r="W287" s="6">
        <f>IF(ISNUMBER(V287),IF(V287*Settings!$B$8&gt;1000,"beyond table",IFERROR(LOOKUP(V287*Settings!$B$8,'FOIS 145A'!$A$2:$A$22,'FOIS 145A'!$C$2:$C$22)*(1+IF(Settings!$B$11="Y",0,Settings!$B$10/100)),"")),"")</f>
        <v/>
      </c>
      <c r="X287" s="6">
        <f>IF(AND(ISNUMBER(U287),ISNUMBER(W287)),U287+W287,"")</f>
        <v/>
      </c>
      <c r="Y287">
        <f>Settings!$B$6</f>
        <v/>
      </c>
    </row>
    <row r="288">
      <c r="A288" t="inlineStr">
        <is>
          <t>No</t>
        </is>
      </c>
      <c r="B288" t="inlineStr">
        <is>
          <t>mine = coal company's tender in Jharkhand; named mine/plant is far</t>
        </is>
      </c>
      <c r="C288" t="inlineStr"/>
      <c r="E288" t="inlineStr"/>
      <c r="H288" t="inlineStr">
        <is>
          <t>16363678</t>
        </is>
      </c>
      <c r="I288" t="inlineStr">
        <is>
          <t>GEM/2025/B/7009749</t>
        </is>
      </c>
      <c r="J288" t="inlineStr">
        <is>
          <t>handling &amp; transport service , coal extraction , ob removal , hiring of hemm for removal of of ob , re-handling ob and coal extraction &amp; transportation from proposed outsourcing patch at giridih ocm o</t>
        </is>
      </c>
      <c r="K288" t="inlineStr">
        <is>
          <t>Mining services (OB / extraction)</t>
        </is>
      </c>
      <c r="L288" t="inlineStr">
        <is>
          <t>Central Coalfields Limited</t>
        </is>
      </c>
      <c r="M288" t="inlineStr">
        <is>
          <t>Jharkhand</t>
        </is>
      </c>
      <c r="N288" t="inlineStr">
        <is>
          <t>Giridih</t>
        </is>
      </c>
      <c r="O288" s="5" t="n">
        <v>46022</v>
      </c>
      <c r="P288" t="inlineStr">
        <is>
          <t>AOC</t>
        </is>
      </c>
      <c r="Q288" t="inlineStr">
        <is>
          <t>Krishna Infrastructure</t>
        </is>
      </c>
      <c r="R288" t="inlineStr">
        <is>
          <t>Krishna Infrastructure</t>
        </is>
      </c>
      <c r="S288" t="inlineStr">
        <is>
          <t>5 named / 9</t>
        </is>
      </c>
      <c r="T288" t="n">
        <v>81.58</v>
      </c>
      <c r="U288" s="6">
        <f>IF(ISNUMBER(G288),MAX(MAX(G288,Settings!$B$13)*Settings!$B$7*Settings!$B$5,IF(ISNUMBER(Settings!$B$12),Settings!$B$12,0))*(1+IF(Settings!$B$11="Y",0,Settings!$B$10/100))+N(Settings!$B$9),"")</f>
        <v/>
      </c>
      <c r="W288" s="6">
        <f>IF(ISNUMBER(V288),IF(V288*Settings!$B$8&gt;1000,"beyond table",IFERROR(LOOKUP(V288*Settings!$B$8,'FOIS 145A'!$A$2:$A$22,'FOIS 145A'!$C$2:$C$22)*(1+IF(Settings!$B$11="Y",0,Settings!$B$10/100)),"")),"")</f>
        <v/>
      </c>
      <c r="X288" s="6">
        <f>IF(AND(ISNUMBER(U288),ISNUMBER(W288)),U288+W288,"")</f>
        <v/>
      </c>
      <c r="Y288">
        <f>Settings!$B$6</f>
        <v/>
      </c>
    </row>
    <row r="289">
      <c r="A289" t="inlineStr">
        <is>
          <t>No</t>
        </is>
      </c>
      <c r="B289" t="inlineStr">
        <is>
          <t>mine = coal company's tender in Madhya Pradesh; named mine/plant is far</t>
        </is>
      </c>
      <c r="C289" t="inlineStr"/>
      <c r="E289" t="inlineStr"/>
      <c r="H289" t="inlineStr">
        <is>
          <t>16036719</t>
        </is>
      </c>
      <c r="I289" t="inlineStr">
        <is>
          <t>GEM/2025/B/7010386</t>
        </is>
      </c>
      <c r="J289" t="inlineStr">
        <is>
          <t>handling service, transport service, handling &amp; transport service, coal extraction, ob removal</t>
        </is>
      </c>
      <c r="K289" t="inlineStr">
        <is>
          <t>Mining services (OB / extraction)</t>
        </is>
      </c>
      <c r="L289" t="inlineStr">
        <is>
          <t>South Eastern Coalfields Limited</t>
        </is>
      </c>
      <c r="M289" t="inlineStr">
        <is>
          <t>Madhya Pradesh</t>
        </is>
      </c>
      <c r="N289" t="inlineStr">
        <is>
          <t>Anuppur</t>
        </is>
      </c>
      <c r="O289" s="5" t="n">
        <v>46017</v>
      </c>
      <c r="P289" t="inlineStr">
        <is>
          <t>AOC</t>
        </is>
      </c>
      <c r="Q289" t="inlineStr">
        <is>
          <t>Nakul Tiwari</t>
        </is>
      </c>
      <c r="R289" t="inlineStr">
        <is>
          <t>G K Associates</t>
        </is>
      </c>
      <c r="S289" t="inlineStr">
        <is>
          <t>3 named / 3</t>
        </is>
      </c>
      <c r="T289" t="n">
        <v>0.34</v>
      </c>
      <c r="U289" s="6">
        <f>IF(ISNUMBER(G289),MAX(MAX(G289,Settings!$B$13)*Settings!$B$7*Settings!$B$5,IF(ISNUMBER(Settings!$B$12),Settings!$B$12,0))*(1+IF(Settings!$B$11="Y",0,Settings!$B$10/100))+N(Settings!$B$9),"")</f>
        <v/>
      </c>
      <c r="W289" s="6">
        <f>IF(ISNUMBER(V289),IF(V289*Settings!$B$8&gt;1000,"beyond table",IFERROR(LOOKUP(V289*Settings!$B$8,'FOIS 145A'!$A$2:$A$22,'FOIS 145A'!$C$2:$C$22)*(1+IF(Settings!$B$11="Y",0,Settings!$B$10/100)),"")),"")</f>
        <v/>
      </c>
      <c r="X289" s="6">
        <f>IF(AND(ISNUMBER(U289),ISNUMBER(W289)),U289+W289,"")</f>
        <v/>
      </c>
      <c r="Y289">
        <f>Settings!$B$6</f>
        <v/>
      </c>
    </row>
    <row r="290">
      <c r="A290" t="inlineStr">
        <is>
          <t>No</t>
        </is>
      </c>
      <c r="B290" t="inlineStr">
        <is>
          <t>mine = coal company's tender in Jharkhand; named mine/plant is far</t>
        </is>
      </c>
      <c r="C290" t="inlineStr"/>
      <c r="E290" t="inlineStr"/>
      <c r="H290" t="inlineStr">
        <is>
          <t>17029874</t>
        </is>
      </c>
      <c r="I290" t="inlineStr">
        <is>
          <t>GEM/2025/B/6785768</t>
        </is>
      </c>
      <c r="J290" t="inlineStr">
        <is>
          <t>handling &amp; transport service, hiring of hemm for ob removal, extraction and transportation of coal with fire-fighting along with crushing of coal at patch-s of bassuriya gondudi..</t>
        </is>
      </c>
      <c r="K290" t="inlineStr">
        <is>
          <t>Mining services (OB / extraction)</t>
        </is>
      </c>
      <c r="L290" t="inlineStr">
        <is>
          <t>Bharat Coking Coal Limited</t>
        </is>
      </c>
      <c r="M290" t="inlineStr">
        <is>
          <t>Jharkhand</t>
        </is>
      </c>
      <c r="N290" t="inlineStr">
        <is>
          <t>Dhanbad</t>
        </is>
      </c>
      <c r="O290" s="5" t="n">
        <v>45975</v>
      </c>
      <c r="P290" t="inlineStr">
        <is>
          <t>AOC</t>
        </is>
      </c>
      <c r="Q290" t="inlineStr">
        <is>
          <t>Stg Associates</t>
        </is>
      </c>
      <c r="R290" t="inlineStr">
        <is>
          <t>G K Associates</t>
        </is>
      </c>
      <c r="S290" t="inlineStr">
        <is>
          <t>5 named / 19</t>
        </is>
      </c>
      <c r="T290" t="n">
        <v>596.41</v>
      </c>
      <c r="U290" s="6">
        <f>IF(ISNUMBER(G290),MAX(MAX(G290,Settings!$B$13)*Settings!$B$7*Settings!$B$5,IF(ISNUMBER(Settings!$B$12),Settings!$B$12,0))*(1+IF(Settings!$B$11="Y",0,Settings!$B$10/100))+N(Settings!$B$9),"")</f>
        <v/>
      </c>
      <c r="W290" s="6">
        <f>IF(ISNUMBER(V290),IF(V290*Settings!$B$8&gt;1000,"beyond table",IFERROR(LOOKUP(V290*Settings!$B$8,'FOIS 145A'!$A$2:$A$22,'FOIS 145A'!$C$2:$C$22)*(1+IF(Settings!$B$11="Y",0,Settings!$B$10/100)),"")),"")</f>
        <v/>
      </c>
      <c r="X290" s="6">
        <f>IF(AND(ISNUMBER(U290),ISNUMBER(W290)),U290+W290,"")</f>
        <v/>
      </c>
      <c r="Y290">
        <f>Settings!$B$6</f>
        <v/>
      </c>
    </row>
    <row r="291">
      <c r="A291" t="inlineStr">
        <is>
          <t>No</t>
        </is>
      </c>
      <c r="B291" t="inlineStr">
        <is>
          <t>mine = coal company's tender in Jharkhand; named mine/plant is far</t>
        </is>
      </c>
      <c r="C291" t="inlineStr"/>
      <c r="E291" t="inlineStr"/>
      <c r="H291" t="inlineStr">
        <is>
          <t>16027851</t>
        </is>
      </c>
      <c r="I291" t="inlineStr">
        <is>
          <t>GEM/2025/B/6837036</t>
        </is>
      </c>
      <c r="J291" t="inlineStr">
        <is>
          <t>handling &amp; transport service, ob removal, coal extraction, hiring of hemm for removal of hard ob &amp; re-handling ob and extraction, loading and transportation of coal at differe..</t>
        </is>
      </c>
      <c r="K291" t="inlineStr">
        <is>
          <t>Mining services (OB / extraction)</t>
        </is>
      </c>
      <c r="L291" t="inlineStr">
        <is>
          <t>Central Coalfields Limited</t>
        </is>
      </c>
      <c r="M291" t="inlineStr">
        <is>
          <t>Jharkhand</t>
        </is>
      </c>
      <c r="N291" t="inlineStr">
        <is>
          <t>Bokaro</t>
        </is>
      </c>
      <c r="O291" s="5" t="n">
        <v>45974</v>
      </c>
      <c r="P291" t="inlineStr">
        <is>
          <t>AOC</t>
        </is>
      </c>
      <c r="Q291" t="inlineStr">
        <is>
          <t>Bkt - Pmiw Jv</t>
        </is>
      </c>
      <c r="R291" t="inlineStr">
        <is>
          <t>United Coal Carriers</t>
        </is>
      </c>
      <c r="S291" t="inlineStr">
        <is>
          <t>5 named / 6</t>
        </is>
      </c>
      <c r="T291" t="n">
        <v>86.93000000000001</v>
      </c>
      <c r="U291" s="6">
        <f>IF(ISNUMBER(G291),MAX(MAX(G291,Settings!$B$13)*Settings!$B$7*Settings!$B$5,IF(ISNUMBER(Settings!$B$12),Settings!$B$12,0))*(1+IF(Settings!$B$11="Y",0,Settings!$B$10/100))+N(Settings!$B$9),"")</f>
        <v/>
      </c>
      <c r="W291" s="6">
        <f>IF(ISNUMBER(V291),IF(V291*Settings!$B$8&gt;1000,"beyond table",IFERROR(LOOKUP(V291*Settings!$B$8,'FOIS 145A'!$A$2:$A$22,'FOIS 145A'!$C$2:$C$22)*(1+IF(Settings!$B$11="Y",0,Settings!$B$10/100)),"")),"")</f>
        <v/>
      </c>
      <c r="X291" s="6">
        <f>IF(AND(ISNUMBER(U291),ISNUMBER(W291)),U291+W291,"")</f>
        <v/>
      </c>
      <c r="Y291">
        <f>Settings!$B$6</f>
        <v/>
      </c>
    </row>
    <row r="292">
      <c r="A292" t="inlineStr">
        <is>
          <t>No</t>
        </is>
      </c>
      <c r="B292" t="inlineStr">
        <is>
          <t>mine = coal company's tender in Maharashtra; named mine/plant is far</t>
        </is>
      </c>
      <c r="C292" t="inlineStr"/>
      <c r="E292" t="inlineStr"/>
      <c r="H292" t="inlineStr">
        <is>
          <t>15737094</t>
        </is>
      </c>
      <c r="I292" t="inlineStr">
        <is>
          <t>GEM/2025/B/6692220</t>
        </is>
      </c>
      <c r="J292" t="inlineStr">
        <is>
          <t>ob removal, coal extraction, hoe work at gauri-pauni expansion oc mine of ballarpur area</t>
        </is>
      </c>
      <c r="K292" t="inlineStr">
        <is>
          <t>Mining services (OB / extraction)</t>
        </is>
      </c>
      <c r="L292" t="inlineStr">
        <is>
          <t>Western Coalfields Limited</t>
        </is>
      </c>
      <c r="M292" t="inlineStr">
        <is>
          <t>Maharashtra</t>
        </is>
      </c>
      <c r="N292" t="inlineStr">
        <is>
          <t>Chandrapur</t>
        </is>
      </c>
      <c r="O292" s="5" t="n">
        <v>45962</v>
      </c>
      <c r="P292" t="inlineStr">
        <is>
          <t>AOC</t>
        </is>
      </c>
      <c r="Q292" t="inlineStr">
        <is>
          <t>Caliber Mining And Logistics Limited</t>
        </is>
      </c>
      <c r="R292" t="inlineStr">
        <is>
          <t>Caliber Mining and Logistics</t>
        </is>
      </c>
      <c r="S292" t="inlineStr">
        <is>
          <t>5 named / 17</t>
        </is>
      </c>
      <c r="T292" t="n">
        <v>1912.27</v>
      </c>
      <c r="U292" s="6">
        <f>IF(ISNUMBER(G292),MAX(MAX(G292,Settings!$B$13)*Settings!$B$7*Settings!$B$5,IF(ISNUMBER(Settings!$B$12),Settings!$B$12,0))*(1+IF(Settings!$B$11="Y",0,Settings!$B$10/100))+N(Settings!$B$9),"")</f>
        <v/>
      </c>
      <c r="W292" s="6">
        <f>IF(ISNUMBER(V292),IF(V292*Settings!$B$8&gt;1000,"beyond table",IFERROR(LOOKUP(V292*Settings!$B$8,'FOIS 145A'!$A$2:$A$22,'FOIS 145A'!$C$2:$C$22)*(1+IF(Settings!$B$11="Y",0,Settings!$B$10/100)),"")),"")</f>
        <v/>
      </c>
      <c r="X292" s="6">
        <f>IF(AND(ISNUMBER(U292),ISNUMBER(W292)),U292+W292,"")</f>
        <v/>
      </c>
      <c r="Y292">
        <f>Settings!$B$6</f>
        <v/>
      </c>
    </row>
    <row r="293">
      <c r="A293" t="inlineStr">
        <is>
          <t>No</t>
        </is>
      </c>
      <c r="B293" t="inlineStr">
        <is>
          <t>mine = coal company's tender in Jharkhand; named mine/plant is far</t>
        </is>
      </c>
      <c r="C293" t="inlineStr"/>
      <c r="E293" t="inlineStr"/>
      <c r="H293" t="inlineStr">
        <is>
          <t>15921961</t>
        </is>
      </c>
      <c r="I293" t="inlineStr">
        <is>
          <t>GEM/2025/B/6581450</t>
        </is>
      </c>
      <c r="J293" t="inlineStr">
        <is>
          <t>handling &amp; transport service, ob removal, coal extraction, hiring of hemm for extraction of coal, removal of composite ob and rehandling ob at bhurkunda a colliery, barka-saya..</t>
        </is>
      </c>
      <c r="K293" t="inlineStr">
        <is>
          <t>Mining services (OB / extraction)</t>
        </is>
      </c>
      <c r="L293" t="inlineStr">
        <is>
          <t>Central Coalfields Limited</t>
        </is>
      </c>
      <c r="M293" t="inlineStr">
        <is>
          <t>Jharkhand</t>
        </is>
      </c>
      <c r="N293" t="inlineStr">
        <is>
          <t>Ramgarh</t>
        </is>
      </c>
      <c r="O293" s="5" t="n">
        <v>45902</v>
      </c>
      <c r="P293" t="inlineStr">
        <is>
          <t>AOC</t>
        </is>
      </c>
      <c r="Q293" t="inlineStr">
        <is>
          <t>Bla Infrastructure Private Limited</t>
        </is>
      </c>
      <c r="R293" t="inlineStr">
        <is>
          <t>G K Associates</t>
        </is>
      </c>
      <c r="S293" t="inlineStr">
        <is>
          <t>5 named / 13</t>
        </is>
      </c>
      <c r="T293" t="n">
        <v>263.98</v>
      </c>
      <c r="U293" s="6">
        <f>IF(ISNUMBER(G293),MAX(MAX(G293,Settings!$B$13)*Settings!$B$7*Settings!$B$5,IF(ISNUMBER(Settings!$B$12),Settings!$B$12,0))*(1+IF(Settings!$B$11="Y",0,Settings!$B$10/100))+N(Settings!$B$9),"")</f>
        <v/>
      </c>
      <c r="W293" s="6">
        <f>IF(ISNUMBER(V293),IF(V293*Settings!$B$8&gt;1000,"beyond table",IFERROR(LOOKUP(V293*Settings!$B$8,'FOIS 145A'!$A$2:$A$22,'FOIS 145A'!$C$2:$C$22)*(1+IF(Settings!$B$11="Y",0,Settings!$B$10/100)),"")),"")</f>
        <v/>
      </c>
      <c r="X293" s="6">
        <f>IF(AND(ISNUMBER(U293),ISNUMBER(W293)),U293+W293,"")</f>
        <v/>
      </c>
      <c r="Y293">
        <f>Settings!$B$6</f>
        <v/>
      </c>
    </row>
    <row r="294">
      <c r="A294" t="inlineStr">
        <is>
          <t>No</t>
        </is>
      </c>
      <c r="B294" t="inlineStr">
        <is>
          <t>mine = coal company's tender in Jharkhand; named mine/plant is far</t>
        </is>
      </c>
      <c r="C294" t="inlineStr"/>
      <c r="E294" t="inlineStr"/>
      <c r="H294" t="inlineStr">
        <is>
          <t>15858366</t>
        </is>
      </c>
      <c r="I294" t="inlineStr">
        <is>
          <t>GEM/2025/B/6553471</t>
        </is>
      </c>
      <c r="J294" t="inlineStr">
        <is>
          <t>handling service, handling &amp; transport service, ob removal, coal extraction, hiring of hemm for removal of ob and extraction and transportation of coal to different destinations..</t>
        </is>
      </c>
      <c r="K294" t="inlineStr">
        <is>
          <t>Mining services (OB / extraction)</t>
        </is>
      </c>
      <c r="L294" t="inlineStr">
        <is>
          <t>Central Coalfields Limited</t>
        </is>
      </c>
      <c r="M294" t="inlineStr">
        <is>
          <t>Jharkhand</t>
        </is>
      </c>
      <c r="N294" t="inlineStr">
        <is>
          <t>Hazaribagh</t>
        </is>
      </c>
      <c r="O294" s="5" t="n">
        <v>45901</v>
      </c>
      <c r="P294" t="inlineStr">
        <is>
          <t>AOC</t>
        </is>
      </c>
      <c r="Q294" t="inlineStr">
        <is>
          <t>Jarpl-At Consortium</t>
        </is>
      </c>
      <c r="R294" t="inlineStr"/>
      <c r="S294" t="inlineStr">
        <is>
          <t>5 named / 21</t>
        </is>
      </c>
      <c r="T294" t="n">
        <v>379.2</v>
      </c>
      <c r="U294" s="6">
        <f>IF(ISNUMBER(G294),MAX(MAX(G294,Settings!$B$13)*Settings!$B$7*Settings!$B$5,IF(ISNUMBER(Settings!$B$12),Settings!$B$12,0))*(1+IF(Settings!$B$11="Y",0,Settings!$B$10/100))+N(Settings!$B$9),"")</f>
        <v/>
      </c>
      <c r="W294" s="6">
        <f>IF(ISNUMBER(V294),IF(V294*Settings!$B$8&gt;1000,"beyond table",IFERROR(LOOKUP(V294*Settings!$B$8,'FOIS 145A'!$A$2:$A$22,'FOIS 145A'!$C$2:$C$22)*(1+IF(Settings!$B$11="Y",0,Settings!$B$10/100)),"")),"")</f>
        <v/>
      </c>
      <c r="X294" s="6">
        <f>IF(AND(ISNUMBER(U294),ISNUMBER(W294)),U294+W294,"")</f>
        <v/>
      </c>
      <c r="Y294">
        <f>Settings!$B$6</f>
        <v/>
      </c>
    </row>
    <row r="295">
      <c r="A295" t="inlineStr">
        <is>
          <t>No</t>
        </is>
      </c>
      <c r="B295" t="inlineStr">
        <is>
          <t>mine = coal company's tender in Jharkhand; named mine/plant is far</t>
        </is>
      </c>
      <c r="C295" t="inlineStr"/>
      <c r="E295" t="inlineStr"/>
      <c r="H295" t="inlineStr">
        <is>
          <t>15520057</t>
        </is>
      </c>
      <c r="I295" t="inlineStr">
        <is>
          <t>GEM/2025/B/6421080</t>
        </is>
      </c>
      <c r="J295" t="inlineStr">
        <is>
          <t>ob removal, coal extractio</t>
        </is>
      </c>
      <c r="K295" t="inlineStr">
        <is>
          <t>Mining services (OB / extraction)</t>
        </is>
      </c>
      <c r="L295" t="inlineStr">
        <is>
          <t>Central Coalfields Limited</t>
        </is>
      </c>
      <c r="M295" t="inlineStr">
        <is>
          <t>Jharkhand</t>
        </is>
      </c>
      <c r="N295" t="inlineStr">
        <is>
          <t>Latehar</t>
        </is>
      </c>
      <c r="O295" s="5" t="n">
        <v>45888</v>
      </c>
      <c r="P295" t="inlineStr">
        <is>
          <t>Financial</t>
        </is>
      </c>
      <c r="Q295" t="inlineStr">
        <is>
          <t>-</t>
        </is>
      </c>
      <c r="R295" t="inlineStr"/>
      <c r="S295" t="inlineStr">
        <is>
          <t>5 named / 20</t>
        </is>
      </c>
      <c r="U295" s="6">
        <f>IF(ISNUMBER(G295),MAX(MAX(G295,Settings!$B$13)*Settings!$B$7*Settings!$B$5,IF(ISNUMBER(Settings!$B$12),Settings!$B$12,0))*(1+IF(Settings!$B$11="Y",0,Settings!$B$10/100))+N(Settings!$B$9),"")</f>
        <v/>
      </c>
      <c r="W295" s="6">
        <f>IF(ISNUMBER(V295),IF(V295*Settings!$B$8&gt;1000,"beyond table",IFERROR(LOOKUP(V295*Settings!$B$8,'FOIS 145A'!$A$2:$A$22,'FOIS 145A'!$C$2:$C$22)*(1+IF(Settings!$B$11="Y",0,Settings!$B$10/100)),"")),"")</f>
        <v/>
      </c>
      <c r="X295" s="6">
        <f>IF(AND(ISNUMBER(U295),ISNUMBER(W295)),U295+W295,"")</f>
        <v/>
      </c>
      <c r="Y295">
        <f>Settings!$B$6</f>
        <v/>
      </c>
    </row>
    <row r="296">
      <c r="A296" t="inlineStr">
        <is>
          <t>No</t>
        </is>
      </c>
      <c r="B296" t="inlineStr">
        <is>
          <t>mine = coal company's tender in West Bengal; named mine/plant is far</t>
        </is>
      </c>
      <c r="C296" t="inlineStr"/>
      <c r="E296" t="inlineStr"/>
      <c r="H296" t="inlineStr">
        <is>
          <t>15277015</t>
        </is>
      </c>
      <c r="I296" t="inlineStr">
        <is>
          <t>GEM/2025/B/6518865</t>
        </is>
      </c>
      <c r="J296" t="inlineStr">
        <is>
          <t>handling ,transport and other mining services - percentagequote based - hiring of hemm for removal of overburdonand extraction of coal</t>
        </is>
      </c>
      <c r="K296" t="inlineStr">
        <is>
          <t>Mining services (OB / extraction)</t>
        </is>
      </c>
      <c r="L296" t="inlineStr">
        <is>
          <t>Eastern Coal Fields Limited</t>
        </is>
      </c>
      <c r="M296" t="inlineStr">
        <is>
          <t>West Bengal</t>
        </is>
      </c>
      <c r="N296" t="inlineStr">
        <is>
          <t>Bardhaman</t>
        </is>
      </c>
      <c r="O296" s="5" t="n">
        <v>45887</v>
      </c>
      <c r="P296" t="inlineStr">
        <is>
          <t>AOC</t>
        </is>
      </c>
      <c r="Q296" t="inlineStr">
        <is>
          <t>Kvrr Infrastructure Private Limited</t>
        </is>
      </c>
      <c r="R296" t="inlineStr">
        <is>
          <t>Krishna Infrastructure, United Coal Carriers</t>
        </is>
      </c>
      <c r="S296" t="inlineStr">
        <is>
          <t>5 named / 10</t>
        </is>
      </c>
      <c r="T296" t="n">
        <v>794.28</v>
      </c>
      <c r="U296" s="6">
        <f>IF(ISNUMBER(G296),MAX(MAX(G296,Settings!$B$13)*Settings!$B$7*Settings!$B$5,IF(ISNUMBER(Settings!$B$12),Settings!$B$12,0))*(1+IF(Settings!$B$11="Y",0,Settings!$B$10/100))+N(Settings!$B$9),"")</f>
        <v/>
      </c>
      <c r="W296" s="6">
        <f>IF(ISNUMBER(V296),IF(V296*Settings!$B$8&gt;1000,"beyond table",IFERROR(LOOKUP(V296*Settings!$B$8,'FOIS 145A'!$A$2:$A$22,'FOIS 145A'!$C$2:$C$22)*(1+IF(Settings!$B$11="Y",0,Settings!$B$10/100)),"")),"")</f>
        <v/>
      </c>
      <c r="X296" s="6">
        <f>IF(AND(ISNUMBER(U296),ISNUMBER(W296)),U296+W296,"")</f>
        <v/>
      </c>
      <c r="Y296">
        <f>Settings!$B$6</f>
        <v/>
      </c>
    </row>
    <row r="297">
      <c r="A297" t="inlineStr">
        <is>
          <t>No</t>
        </is>
      </c>
      <c r="B297" t="inlineStr">
        <is>
          <t>named mine/plant is far</t>
        </is>
      </c>
      <c r="C297" t="inlineStr"/>
      <c r="E297" t="inlineStr"/>
      <c r="H297" t="inlineStr">
        <is>
          <t>15535259</t>
        </is>
      </c>
      <c r="I297" t="inlineStr">
        <is>
          <t>GEM/2025/B/6515660</t>
        </is>
      </c>
      <c r="J297" t="inlineStr">
        <is>
          <t>handling &amp; transport service , ob removal , coal extraction , hiring of hemm for removal of ob and coal extraction , crushing of coal and transportation of coal to kuju new siding and stockyard from t</t>
        </is>
      </c>
      <c r="K297" t="inlineStr">
        <is>
          <t>Mining services (OB / extraction)</t>
        </is>
      </c>
      <c r="L297" t="inlineStr">
        <is>
          <t>Central Coalfields Limited</t>
        </is>
      </c>
      <c r="M297" t="inlineStr">
        <is>
          <t>Jharkhand</t>
        </is>
      </c>
      <c r="N297" t="inlineStr">
        <is>
          <t>Ramgarh</t>
        </is>
      </c>
      <c r="O297" s="5" t="n">
        <v>45883</v>
      </c>
      <c r="P297" t="inlineStr">
        <is>
          <t>AOC</t>
        </is>
      </c>
      <c r="Q297" t="inlineStr">
        <is>
          <t>Jarpl-At Consortium</t>
        </is>
      </c>
      <c r="R297" t="inlineStr">
        <is>
          <t>G K Associates</t>
        </is>
      </c>
      <c r="S297" t="inlineStr">
        <is>
          <t>5 named / 18</t>
        </is>
      </c>
      <c r="T297" t="n">
        <v>127.42</v>
      </c>
      <c r="U297" s="6">
        <f>IF(ISNUMBER(G297),MAX(MAX(G297,Settings!$B$13)*Settings!$B$7*Settings!$B$5,IF(ISNUMBER(Settings!$B$12),Settings!$B$12,0))*(1+IF(Settings!$B$11="Y",0,Settings!$B$10/100))+N(Settings!$B$9),"")</f>
        <v/>
      </c>
      <c r="W297" s="6">
        <f>IF(ISNUMBER(V297),IF(V297*Settings!$B$8&gt;1000,"beyond table",IFERROR(LOOKUP(V297*Settings!$B$8,'FOIS 145A'!$A$2:$A$22,'FOIS 145A'!$C$2:$C$22)*(1+IF(Settings!$B$11="Y",0,Settings!$B$10/100)),"")),"")</f>
        <v/>
      </c>
      <c r="X297" s="6">
        <f>IF(AND(ISNUMBER(U297),ISNUMBER(W297)),U297+W297,"")</f>
        <v/>
      </c>
      <c r="Y297">
        <f>Settings!$B$6</f>
        <v/>
      </c>
    </row>
    <row r="298">
      <c r="A298" t="inlineStr">
        <is>
          <t>No</t>
        </is>
      </c>
      <c r="B298" t="inlineStr">
        <is>
          <t>mine = coal company's tender in Jharkhand; named mine/plant is far</t>
        </is>
      </c>
      <c r="C298" t="inlineStr"/>
      <c r="E298" t="inlineStr"/>
      <c r="H298" t="inlineStr">
        <is>
          <t>14921318</t>
        </is>
      </c>
      <c r="I298" t="inlineStr">
        <is>
          <t>GEM/2025/B/6459196</t>
        </is>
      </c>
      <c r="J298" t="inlineStr">
        <is>
          <t>coal extraction, handling</t>
        </is>
      </c>
      <c r="K298" t="inlineStr">
        <is>
          <t>Mining services (OB / extraction)</t>
        </is>
      </c>
      <c r="L298" t="inlineStr">
        <is>
          <t>Central Coalfields Limited</t>
        </is>
      </c>
      <c r="M298" t="inlineStr">
        <is>
          <t>Jharkhand</t>
        </is>
      </c>
      <c r="N298" t="inlineStr">
        <is>
          <t>Bokaro</t>
        </is>
      </c>
      <c r="O298" s="5" t="n">
        <v>45869</v>
      </c>
      <c r="P298" t="inlineStr">
        <is>
          <t>AOC</t>
        </is>
      </c>
      <c r="Q298" t="inlineStr">
        <is>
          <t>Dadan Singh Llp</t>
        </is>
      </c>
      <c r="R298" t="inlineStr"/>
      <c r="S298" t="inlineStr">
        <is>
          <t>5 named / 9</t>
        </is>
      </c>
      <c r="T298" t="n">
        <v>6.74</v>
      </c>
      <c r="U298" s="6">
        <f>IF(ISNUMBER(G298),MAX(MAX(G298,Settings!$B$13)*Settings!$B$7*Settings!$B$5,IF(ISNUMBER(Settings!$B$12),Settings!$B$12,0))*(1+IF(Settings!$B$11="Y",0,Settings!$B$10/100))+N(Settings!$B$9),"")</f>
        <v/>
      </c>
      <c r="W298" s="6">
        <f>IF(ISNUMBER(V298),IF(V298*Settings!$B$8&gt;1000,"beyond table",IFERROR(LOOKUP(V298*Settings!$B$8,'FOIS 145A'!$A$2:$A$22,'FOIS 145A'!$C$2:$C$22)*(1+IF(Settings!$B$11="Y",0,Settings!$B$10/100)),"")),"")</f>
        <v/>
      </c>
      <c r="X298" s="6">
        <f>IF(AND(ISNUMBER(U298),ISNUMBER(W298)),U298+W298,"")</f>
        <v/>
      </c>
      <c r="Y298">
        <f>Settings!$B$6</f>
        <v/>
      </c>
    </row>
    <row r="299">
      <c r="A299" t="inlineStr">
        <is>
          <t>No</t>
        </is>
      </c>
      <c r="B299" t="inlineStr">
        <is>
          <t>mine = coal company's tender in Madhya Pradesh; named mine/plant is far</t>
        </is>
      </c>
      <c r="C299" t="inlineStr"/>
      <c r="E299" t="inlineStr"/>
      <c r="H299" t="inlineStr">
        <is>
          <t>14388722</t>
        </is>
      </c>
      <c r="I299" t="inlineStr">
        <is>
          <t>GEM/2025/B/6283165</t>
        </is>
      </c>
      <c r="J299" t="inlineStr">
        <is>
          <t>hiring of hemm for composite work includes ob removal in different strata extraction of coal by surface miner loading and transportation of coal at rampur batura ocp sohagpur .</t>
        </is>
      </c>
      <c r="K299" t="inlineStr">
        <is>
          <t>Mining services (OB / extraction)</t>
        </is>
      </c>
      <c r="L299" t="inlineStr">
        <is>
          <t>South Eastern Coalfields Limited</t>
        </is>
      </c>
      <c r="M299" t="inlineStr">
        <is>
          <t>Madhya Pradesh</t>
        </is>
      </c>
      <c r="N299" t="inlineStr">
        <is>
          <t>Anuppur</t>
        </is>
      </c>
      <c r="O299" s="5" t="n">
        <v>45848</v>
      </c>
      <c r="P299" t="inlineStr">
        <is>
          <t>AOC</t>
        </is>
      </c>
      <c r="Q299" t="inlineStr">
        <is>
          <t>Jarpl-At Consortium</t>
        </is>
      </c>
      <c r="R299" t="inlineStr">
        <is>
          <t>G K Associates, Godavari Commodities</t>
        </is>
      </c>
      <c r="S299" t="inlineStr">
        <is>
          <t>5 named / 22</t>
        </is>
      </c>
      <c r="T299" t="n">
        <v>3299.51</v>
      </c>
      <c r="U299" s="6">
        <f>IF(ISNUMBER(G299),MAX(MAX(G299,Settings!$B$13)*Settings!$B$7*Settings!$B$5,IF(ISNUMBER(Settings!$B$12),Settings!$B$12,0))*(1+IF(Settings!$B$11="Y",0,Settings!$B$10/100))+N(Settings!$B$9),"")</f>
        <v/>
      </c>
      <c r="W299" s="6">
        <f>IF(ISNUMBER(V299),IF(V299*Settings!$B$8&gt;1000,"beyond table",IFERROR(LOOKUP(V299*Settings!$B$8,'FOIS 145A'!$A$2:$A$22,'FOIS 145A'!$C$2:$C$22)*(1+IF(Settings!$B$11="Y",0,Settings!$B$10/100)),"")),"")</f>
        <v/>
      </c>
      <c r="X299" s="6">
        <f>IF(AND(ISNUMBER(U299),ISNUMBER(W299)),U299+W299,"")</f>
        <v/>
      </c>
      <c r="Y299">
        <f>Settings!$B$6</f>
        <v/>
      </c>
    </row>
    <row r="300">
      <c r="A300" t="inlineStr">
        <is>
          <t>No</t>
        </is>
      </c>
      <c r="B300" t="inlineStr">
        <is>
          <t>mine = coal company's tender in Maharashtra; named mine/plant is far</t>
        </is>
      </c>
      <c r="C300" t="inlineStr"/>
      <c r="E300" t="inlineStr"/>
      <c r="H300" t="inlineStr">
        <is>
          <t>13936252</t>
        </is>
      </c>
      <c r="I300" t="inlineStr">
        <is>
          <t>GEM/2025/B/6160358</t>
        </is>
      </c>
      <c r="J300" t="inlineStr">
        <is>
          <t>ob removal, coal extractio</t>
        </is>
      </c>
      <c r="K300" t="inlineStr">
        <is>
          <t>Mining services (OB / extraction)</t>
        </is>
      </c>
      <c r="L300" t="inlineStr">
        <is>
          <t>Western Coalfields Limited</t>
        </is>
      </c>
      <c r="M300" t="inlineStr">
        <is>
          <t>Maharashtra</t>
        </is>
      </c>
      <c r="N300" t="inlineStr">
        <is>
          <t>Chandrapur</t>
        </is>
      </c>
      <c r="O300" s="5" t="n">
        <v>45806</v>
      </c>
      <c r="P300" t="inlineStr">
        <is>
          <t>AOC</t>
        </is>
      </c>
      <c r="Q300" t="inlineStr">
        <is>
          <t>Ajantha Radha Earth Movers Private Limited</t>
        </is>
      </c>
      <c r="R300" t="inlineStr">
        <is>
          <t>Caliber Mining and Logistics</t>
        </is>
      </c>
      <c r="S300" t="inlineStr">
        <is>
          <t>5 named / 20</t>
        </is>
      </c>
      <c r="T300" t="n">
        <v>669.89</v>
      </c>
      <c r="U300" s="6">
        <f>IF(ISNUMBER(G300),MAX(MAX(G300,Settings!$B$13)*Settings!$B$7*Settings!$B$5,IF(ISNUMBER(Settings!$B$12),Settings!$B$12,0))*(1+IF(Settings!$B$11="Y",0,Settings!$B$10/100))+N(Settings!$B$9),"")</f>
        <v/>
      </c>
      <c r="W300" s="6">
        <f>IF(ISNUMBER(V300),IF(V300*Settings!$B$8&gt;1000,"beyond table",IFERROR(LOOKUP(V300*Settings!$B$8,'FOIS 145A'!$A$2:$A$22,'FOIS 145A'!$C$2:$C$22)*(1+IF(Settings!$B$11="Y",0,Settings!$B$10/100)),"")),"")</f>
        <v/>
      </c>
      <c r="X300" s="6">
        <f>IF(AND(ISNUMBER(U300),ISNUMBER(W300)),U300+W300,"")</f>
        <v/>
      </c>
      <c r="Y300">
        <f>Settings!$B$6</f>
        <v/>
      </c>
    </row>
    <row r="301">
      <c r="A301" t="inlineStr">
        <is>
          <t>No</t>
        </is>
      </c>
      <c r="B301" t="inlineStr">
        <is>
          <t>mine = coal company's tender in West Bengal; named mine/plant is far</t>
        </is>
      </c>
      <c r="C301" t="inlineStr"/>
      <c r="E301" t="inlineStr"/>
      <c r="H301" t="inlineStr">
        <is>
          <t>12988678</t>
        </is>
      </c>
      <c r="I301" t="inlineStr">
        <is>
          <t>GEM/2025/B/5961517</t>
        </is>
      </c>
      <c r="J301" t="inlineStr">
        <is>
          <t>ob removal, coal extractio</t>
        </is>
      </c>
      <c r="K301" t="inlineStr">
        <is>
          <t>Mining services (OB / extraction)</t>
        </is>
      </c>
      <c r="L301" t="inlineStr">
        <is>
          <t>Eastern Coal Fields Limited</t>
        </is>
      </c>
      <c r="M301" t="inlineStr">
        <is>
          <t>West Bengal</t>
        </is>
      </c>
      <c r="N301" t="inlineStr">
        <is>
          <t>Burdwan</t>
        </is>
      </c>
      <c r="O301" s="5" t="n">
        <v>45727</v>
      </c>
      <c r="P301" t="inlineStr">
        <is>
          <t>AOC</t>
        </is>
      </c>
      <c r="Q301" t="inlineStr">
        <is>
          <t>Sree Durga Transport Agency</t>
        </is>
      </c>
      <c r="R301" t="inlineStr">
        <is>
          <t>United Coal Carriers</t>
        </is>
      </c>
      <c r="S301" t="inlineStr">
        <is>
          <t>5 named / 10</t>
        </is>
      </c>
      <c r="T301" t="n">
        <v>133.99</v>
      </c>
      <c r="U301" s="6">
        <f>IF(ISNUMBER(G301),MAX(MAX(G301,Settings!$B$13)*Settings!$B$7*Settings!$B$5,IF(ISNUMBER(Settings!$B$12),Settings!$B$12,0))*(1+IF(Settings!$B$11="Y",0,Settings!$B$10/100))+N(Settings!$B$9),"")</f>
        <v/>
      </c>
      <c r="W301" s="6">
        <f>IF(ISNUMBER(V301),IF(V301*Settings!$B$8&gt;1000,"beyond table",IFERROR(LOOKUP(V301*Settings!$B$8,'FOIS 145A'!$A$2:$A$22,'FOIS 145A'!$C$2:$C$22)*(1+IF(Settings!$B$11="Y",0,Settings!$B$10/100)),"")),"")</f>
        <v/>
      </c>
      <c r="X301" s="6">
        <f>IF(AND(ISNUMBER(U301),ISNUMBER(W301)),U301+W301,"")</f>
        <v/>
      </c>
      <c r="Y301">
        <f>Settings!$B$6</f>
        <v/>
      </c>
    </row>
    <row r="302">
      <c r="A302" t="inlineStr">
        <is>
          <t>No</t>
        </is>
      </c>
      <c r="B302" t="inlineStr">
        <is>
          <t>mine = coal company's tender in Maharashtra; named mine/plant is far</t>
        </is>
      </c>
      <c r="C302" t="inlineStr"/>
      <c r="E302" t="inlineStr"/>
      <c r="H302" t="inlineStr">
        <is>
          <t>12933731</t>
        </is>
      </c>
      <c r="I302" t="inlineStr">
        <is>
          <t>GEM/2025/B/5948772</t>
        </is>
      </c>
      <c r="J302" t="inlineStr">
        <is>
          <t>ob removal, coal extractio</t>
        </is>
      </c>
      <c r="K302" t="inlineStr">
        <is>
          <t>Mining services (OB / extraction)</t>
        </is>
      </c>
      <c r="L302" t="inlineStr">
        <is>
          <t>Western Coalfields Limited</t>
        </is>
      </c>
      <c r="M302" t="inlineStr">
        <is>
          <t>Maharashtra</t>
        </is>
      </c>
      <c r="N302" t="inlineStr">
        <is>
          <t>Nagpur</t>
        </is>
      </c>
      <c r="O302" s="5" t="n">
        <v>45719</v>
      </c>
      <c r="P302" t="inlineStr">
        <is>
          <t>AOC</t>
        </is>
      </c>
      <c r="Q302" t="inlineStr">
        <is>
          <t>Hilltop Hirise Private Limited</t>
        </is>
      </c>
      <c r="R302" t="inlineStr"/>
      <c r="S302" t="inlineStr">
        <is>
          <t>5 named / 6</t>
        </is>
      </c>
      <c r="T302" t="n">
        <v>147.71</v>
      </c>
      <c r="U302" s="6">
        <f>IF(ISNUMBER(G302),MAX(MAX(G302,Settings!$B$13)*Settings!$B$7*Settings!$B$5,IF(ISNUMBER(Settings!$B$12),Settings!$B$12,0))*(1+IF(Settings!$B$11="Y",0,Settings!$B$10/100))+N(Settings!$B$9),"")</f>
        <v/>
      </c>
      <c r="W302" s="6">
        <f>IF(ISNUMBER(V302),IF(V302*Settings!$B$8&gt;1000,"beyond table",IFERROR(LOOKUP(V302*Settings!$B$8,'FOIS 145A'!$A$2:$A$22,'FOIS 145A'!$C$2:$C$22)*(1+IF(Settings!$B$11="Y",0,Settings!$B$10/100)),"")),"")</f>
        <v/>
      </c>
      <c r="X302" s="6">
        <f>IF(AND(ISNUMBER(U302),ISNUMBER(W302)),U302+W302,"")</f>
        <v/>
      </c>
      <c r="Y302">
        <f>Settings!$B$6</f>
        <v/>
      </c>
    </row>
    <row r="303">
      <c r="A303" t="inlineStr">
        <is>
          <t>No</t>
        </is>
      </c>
      <c r="B303" t="inlineStr">
        <is>
          <t>plant = tender city in Uttar Pradesh; named mine/plant is far</t>
        </is>
      </c>
      <c r="C303" t="inlineStr"/>
      <c r="E303" t="inlineStr"/>
      <c r="H303" t="inlineStr">
        <is>
          <t>17926073</t>
        </is>
      </c>
      <c r="I303" t="inlineStr">
        <is>
          <t>GEM/2026/B/7804529</t>
        </is>
      </c>
      <c r="J303" t="inlineStr">
        <is>
          <t>coal liasioning 4 lakh mt coal , custom bid for services - coal sampling for 200 samples</t>
        </is>
      </c>
      <c r="K303" t="inlineStr">
        <is>
          <t>Other</t>
        </is>
      </c>
      <c r="L303" t="inlineStr">
        <is>
          <t>Uttar Pradesh Rajya Vidyut Utpadan Nigam Limited</t>
        </is>
      </c>
      <c r="M303" t="inlineStr">
        <is>
          <t>Uttar Pradesh</t>
        </is>
      </c>
      <c r="N303" t="inlineStr">
        <is>
          <t>Etah</t>
        </is>
      </c>
      <c r="O303" s="5" t="n">
        <v>46234</v>
      </c>
      <c r="P303" t="inlineStr">
        <is>
          <t>Financial</t>
        </is>
      </c>
      <c r="Q303" t="inlineStr">
        <is>
          <t>-</t>
        </is>
      </c>
      <c r="R303" t="inlineStr">
        <is>
          <t>Sangita Sales, Shah Coal</t>
        </is>
      </c>
      <c r="S303" t="inlineStr">
        <is>
          <t>5 named / 6</t>
        </is>
      </c>
      <c r="U303" s="6">
        <f>IF(ISNUMBER(G303),MAX(MAX(G303,Settings!$B$13)*Settings!$B$7*Settings!$B$5,IF(ISNUMBER(Settings!$B$12),Settings!$B$12,0))*(1+IF(Settings!$B$11="Y",0,Settings!$B$10/100))+N(Settings!$B$9),"")</f>
        <v/>
      </c>
      <c r="W303" s="6">
        <f>IF(ISNUMBER(V303),IF(V303*Settings!$B$8&gt;1000,"beyond table",IFERROR(LOOKUP(V303*Settings!$B$8,'FOIS 145A'!$A$2:$A$22,'FOIS 145A'!$C$2:$C$22)*(1+IF(Settings!$B$11="Y",0,Settings!$B$10/100)),"")),"")</f>
        <v/>
      </c>
      <c r="X303" s="6">
        <f>IF(AND(ISNUMBER(U303),ISNUMBER(W303)),U303+W303,"")</f>
        <v/>
      </c>
      <c r="Y303">
        <f>Settings!$B$6</f>
        <v/>
      </c>
    </row>
    <row r="304">
      <c r="A304" t="inlineStr">
        <is>
          <t>No</t>
        </is>
      </c>
      <c r="B304" t="inlineStr">
        <is>
          <t>plant = tender city in Andhra Pradesh; named mine/plant is far</t>
        </is>
      </c>
      <c r="C304" t="inlineStr"/>
      <c r="E304" t="inlineStr"/>
      <c r="H304" t="inlineStr">
        <is>
          <t>17308642</t>
        </is>
      </c>
      <c r="I304" t="inlineStr">
        <is>
          <t>GEM/2026/B/7403722</t>
        </is>
      </c>
      <c r="J304" t="inlineStr">
        <is>
          <t>hiring of custom house agent - lumpsum based - import; clearance of vessel, charter sub agent for bulk cargo vessel such as coal etc as per tender document; bulk cargo vesselsuch as coal etc as per te</t>
        </is>
      </c>
      <c r="K304" t="inlineStr">
        <is>
          <t>Other</t>
        </is>
      </c>
      <c r="L304" t="inlineStr">
        <is>
          <t>Rashtriya Ispat Nigam Limited</t>
        </is>
      </c>
      <c r="M304" t="inlineStr">
        <is>
          <t>Andhra Pradesh</t>
        </is>
      </c>
      <c r="N304" t="inlineStr">
        <is>
          <t>Visakhapatnam</t>
        </is>
      </c>
      <c r="O304" s="5" t="n">
        <v>46133</v>
      </c>
      <c r="P304" t="inlineStr">
        <is>
          <t>Financial</t>
        </is>
      </c>
      <c r="Q304" t="inlineStr">
        <is>
          <t>-</t>
        </is>
      </c>
      <c r="R304" t="inlineStr">
        <is>
          <t>Orissa Stevedores</t>
        </is>
      </c>
      <c r="S304" t="inlineStr">
        <is>
          <t>5 named / 6</t>
        </is>
      </c>
      <c r="U304" s="6">
        <f>IF(ISNUMBER(G304),MAX(MAX(G304,Settings!$B$13)*Settings!$B$7*Settings!$B$5,IF(ISNUMBER(Settings!$B$12),Settings!$B$12,0))*(1+IF(Settings!$B$11="Y",0,Settings!$B$10/100))+N(Settings!$B$9),"")</f>
        <v/>
      </c>
      <c r="W304" s="6">
        <f>IF(ISNUMBER(V304),IF(V304*Settings!$B$8&gt;1000,"beyond table",IFERROR(LOOKUP(V304*Settings!$B$8,'FOIS 145A'!$A$2:$A$22,'FOIS 145A'!$C$2:$C$22)*(1+IF(Settings!$B$11="Y",0,Settings!$B$10/100)),"")),"")</f>
        <v/>
      </c>
      <c r="X304" s="6">
        <f>IF(AND(ISNUMBER(U304),ISNUMBER(W304)),U304+W304,"")</f>
        <v/>
      </c>
      <c r="Y304">
        <f>Settings!$B$6</f>
        <v/>
      </c>
    </row>
    <row r="305">
      <c r="A305" t="inlineStr">
        <is>
          <t>No</t>
        </is>
      </c>
      <c r="B305" t="inlineStr">
        <is>
          <t>mine = coal company's tender in Madhya Pradesh; named mine/plant is far</t>
        </is>
      </c>
      <c r="C305" t="inlineStr"/>
      <c r="E305" t="inlineStr"/>
      <c r="H305" t="inlineStr">
        <is>
          <t>15296948</t>
        </is>
      </c>
      <c r="I305" t="inlineStr">
        <is>
          <t>GEM/2025/B/6553387</t>
        </is>
      </c>
      <c r="J305" t="inlineStr">
        <is>
          <t>hiring of tipper for trans</t>
        </is>
      </c>
      <c r="K305" t="inlineStr">
        <is>
          <t>Other</t>
        </is>
      </c>
      <c r="L305" t="inlineStr">
        <is>
          <t>South Eastern Coalfields Limited</t>
        </is>
      </c>
      <c r="M305" t="inlineStr">
        <is>
          <t>Madhya Pradesh</t>
        </is>
      </c>
      <c r="N305" t="inlineStr">
        <is>
          <t>Anuppur</t>
        </is>
      </c>
      <c r="O305" s="5" t="n">
        <v>45892</v>
      </c>
      <c r="P305" t="inlineStr">
        <is>
          <t>AOC</t>
        </is>
      </c>
      <c r="Q305" t="inlineStr">
        <is>
          <t>A Ahmad Contractor</t>
        </is>
      </c>
      <c r="R305" t="inlineStr">
        <is>
          <t>G K Associates</t>
        </is>
      </c>
      <c r="S305" t="inlineStr">
        <is>
          <t>4 named / 4</t>
        </is>
      </c>
      <c r="T305" t="n">
        <v>1.65</v>
      </c>
      <c r="U305" s="6">
        <f>IF(ISNUMBER(G305),MAX(MAX(G305,Settings!$B$13)*Settings!$B$7*Settings!$B$5,IF(ISNUMBER(Settings!$B$12),Settings!$B$12,0))*(1+IF(Settings!$B$11="Y",0,Settings!$B$10/100))+N(Settings!$B$9),"")</f>
        <v/>
      </c>
      <c r="W305" s="6">
        <f>IF(ISNUMBER(V305),IF(V305*Settings!$B$8&gt;1000,"beyond table",IFERROR(LOOKUP(V305*Settings!$B$8,'FOIS 145A'!$A$2:$A$22,'FOIS 145A'!$C$2:$C$22)*(1+IF(Settings!$B$11="Y",0,Settings!$B$10/100)),"")),"")</f>
        <v/>
      </c>
      <c r="X305" s="6">
        <f>IF(AND(ISNUMBER(U305),ISNUMBER(W305)),U305+W305,"")</f>
        <v/>
      </c>
      <c r="Y305">
        <f>Settings!$B$6</f>
        <v/>
      </c>
    </row>
    <row r="306">
      <c r="A306" t="inlineStr">
        <is>
          <t>No</t>
        </is>
      </c>
      <c r="B306" t="inlineStr">
        <is>
          <t>mine = coal company's tender in Madhya Pradesh; named mine/plant is far</t>
        </is>
      </c>
      <c r="C306" t="inlineStr"/>
      <c r="E306" t="inlineStr"/>
      <c r="H306" t="inlineStr">
        <is>
          <t>15598136</t>
        </is>
      </c>
      <c r="I306" t="inlineStr">
        <is>
          <t>GEM/2025/B/6427383</t>
        </is>
      </c>
      <c r="J306" t="inlineStr">
        <is>
          <t>hiring of tipper for trans</t>
        </is>
      </c>
      <c r="K306" t="inlineStr">
        <is>
          <t>Other</t>
        </is>
      </c>
      <c r="L306" t="inlineStr">
        <is>
          <t>South Eastern Coalfields Limited</t>
        </is>
      </c>
      <c r="M306" t="inlineStr">
        <is>
          <t>Madhya Pradesh</t>
        </is>
      </c>
      <c r="N306" t="inlineStr">
        <is>
          <t>Anuppur</t>
        </is>
      </c>
      <c r="O306" s="5" t="n">
        <v>45863</v>
      </c>
      <c r="P306" t="inlineStr">
        <is>
          <t>AOC</t>
        </is>
      </c>
      <c r="Q306" t="inlineStr">
        <is>
          <t>Afsar Road Ways</t>
        </is>
      </c>
      <c r="R306" t="inlineStr">
        <is>
          <t>Chandan Kumar Singh</t>
        </is>
      </c>
      <c r="S306" t="inlineStr">
        <is>
          <t>5 named / 9</t>
        </is>
      </c>
      <c r="T306" t="n">
        <v>4.47</v>
      </c>
      <c r="U306" s="6">
        <f>IF(ISNUMBER(G306),MAX(MAX(G306,Settings!$B$13)*Settings!$B$7*Settings!$B$5,IF(ISNUMBER(Settings!$B$12),Settings!$B$12,0))*(1+IF(Settings!$B$11="Y",0,Settings!$B$10/100))+N(Settings!$B$9),"")</f>
        <v/>
      </c>
      <c r="W306" s="6">
        <f>IF(ISNUMBER(V306),IF(V306*Settings!$B$8&gt;1000,"beyond table",IFERROR(LOOKUP(V306*Settings!$B$8,'FOIS 145A'!$A$2:$A$22,'FOIS 145A'!$C$2:$C$22)*(1+IF(Settings!$B$11="Y",0,Settings!$B$10/100)),"")),"")</f>
        <v/>
      </c>
      <c r="X306" s="6">
        <f>IF(AND(ISNUMBER(U306),ISNUMBER(W306)),U306+W306,"")</f>
        <v/>
      </c>
      <c r="Y306">
        <f>Settings!$B$6</f>
        <v/>
      </c>
    </row>
    <row r="307">
      <c r="A307" t="inlineStr">
        <is>
          <t>No</t>
        </is>
      </c>
      <c r="B307" t="inlineStr">
        <is>
          <t>mine = coal company's tender in Madhya Pradesh; named mine/plant is far</t>
        </is>
      </c>
      <c r="C307" t="inlineStr"/>
      <c r="E307" t="inlineStr"/>
      <c r="H307" t="inlineStr">
        <is>
          <t>14288652</t>
        </is>
      </c>
      <c r="I307" t="inlineStr">
        <is>
          <t>GEM/2025/B/6338966</t>
        </is>
      </c>
      <c r="J307" t="inlineStr">
        <is>
          <t>hiring of tipper for trans</t>
        </is>
      </c>
      <c r="K307" t="inlineStr">
        <is>
          <t>Other</t>
        </is>
      </c>
      <c r="L307" t="inlineStr">
        <is>
          <t>South Eastern Coalfields Limited</t>
        </is>
      </c>
      <c r="M307" t="inlineStr">
        <is>
          <t>Madhya Pradesh</t>
        </is>
      </c>
      <c r="N307" t="inlineStr">
        <is>
          <t>Umaria</t>
        </is>
      </c>
      <c r="O307" s="5" t="n">
        <v>45836</v>
      </c>
      <c r="P307" t="inlineStr">
        <is>
          <t>AOC</t>
        </is>
      </c>
      <c r="Q307" t="inlineStr">
        <is>
          <t>Afsar Road Ways</t>
        </is>
      </c>
      <c r="R307" t="inlineStr">
        <is>
          <t>G K Associates</t>
        </is>
      </c>
      <c r="S307" t="inlineStr">
        <is>
          <t>5 named / 12</t>
        </is>
      </c>
      <c r="T307" t="n">
        <v>8.210000000000001</v>
      </c>
      <c r="U307" s="6">
        <f>IF(ISNUMBER(G307),MAX(MAX(G307,Settings!$B$13)*Settings!$B$7*Settings!$B$5,IF(ISNUMBER(Settings!$B$12),Settings!$B$12,0))*(1+IF(Settings!$B$11="Y",0,Settings!$B$10/100))+N(Settings!$B$9),"")</f>
        <v/>
      </c>
      <c r="W307" s="6">
        <f>IF(ISNUMBER(V307),IF(V307*Settings!$B$8&gt;1000,"beyond table",IFERROR(LOOKUP(V307*Settings!$B$8,'FOIS 145A'!$A$2:$A$22,'FOIS 145A'!$C$2:$C$22)*(1+IF(Settings!$B$11="Y",0,Settings!$B$10/100)),"")),"")</f>
        <v/>
      </c>
      <c r="X307" s="6">
        <f>IF(AND(ISNUMBER(U307),ISNUMBER(W307)),U307+W307,"")</f>
        <v/>
      </c>
      <c r="Y307">
        <f>Settings!$B$6</f>
        <v/>
      </c>
    </row>
    <row r="308">
      <c r="A308" t="inlineStr">
        <is>
          <t>No</t>
        </is>
      </c>
      <c r="B308" t="inlineStr">
        <is>
          <t>plant = tender city in Madhya Pradesh; named mine/plant is far</t>
        </is>
      </c>
      <c r="C308" t="inlineStr"/>
      <c r="E308" t="inlineStr"/>
      <c r="H308" t="inlineStr">
        <is>
          <t>13016749</t>
        </is>
      </c>
      <c r="I308" t="inlineStr">
        <is>
          <t>2025_JPL_228306_1</t>
        </is>
      </c>
      <c r="J308" t="inlineStr">
        <is>
          <t>rcr from secl kusmuda 1lmt</t>
        </is>
      </c>
      <c r="K308" t="inlineStr">
        <is>
          <t>Other</t>
        </is>
      </c>
      <c r="L308" t="inlineStr">
        <is>
          <t>Jhabua Power Limited</t>
        </is>
      </c>
      <c r="M308" t="inlineStr">
        <is>
          <t>Madhya Pradesh</t>
        </is>
      </c>
      <c r="N308" t="inlineStr">
        <is>
          <t>Seoni</t>
        </is>
      </c>
      <c r="O308" s="5" t="n">
        <v>45731</v>
      </c>
      <c r="P308" t="inlineStr">
        <is>
          <t>Financial</t>
        </is>
      </c>
      <c r="Q308" t="inlineStr">
        <is>
          <t>-</t>
        </is>
      </c>
      <c r="R308" t="inlineStr">
        <is>
          <t>Indermani / Indramani</t>
        </is>
      </c>
      <c r="S308" t="inlineStr">
        <is>
          <t>2 named / 2</t>
        </is>
      </c>
      <c r="U308" s="6">
        <f>IF(ISNUMBER(G308),MAX(MAX(G308,Settings!$B$13)*Settings!$B$7*Settings!$B$5,IF(ISNUMBER(Settings!$B$12),Settings!$B$12,0))*(1+IF(Settings!$B$11="Y",0,Settings!$B$10/100))+N(Settings!$B$9),"")</f>
        <v/>
      </c>
      <c r="W308" s="6">
        <f>IF(ISNUMBER(V308),IF(V308*Settings!$B$8&gt;1000,"beyond table",IFERROR(LOOKUP(V308*Settings!$B$8,'FOIS 145A'!$A$2:$A$22,'FOIS 145A'!$C$2:$C$22)*(1+IF(Settings!$B$11="Y",0,Settings!$B$10/100)),"")),"")</f>
        <v/>
      </c>
      <c r="X308" s="6">
        <f>IF(AND(ISNUMBER(U308),ISNUMBER(W308)),U308+W308,"")</f>
        <v/>
      </c>
      <c r="Y308">
        <f>Settings!$B$6</f>
        <v/>
      </c>
    </row>
    <row r="309">
      <c r="A309" t="inlineStr">
        <is>
          <t>No</t>
        </is>
      </c>
      <c r="B309" t="inlineStr">
        <is>
          <t>plant = tender city in Madhya Pradesh; named mine/plant is far</t>
        </is>
      </c>
      <c r="C309" t="inlineStr"/>
      <c r="E309" t="inlineStr"/>
      <c r="H309" t="inlineStr">
        <is>
          <t>12640445</t>
        </is>
      </c>
      <c r="I309" t="inlineStr">
        <is>
          <t>2025_JPL_225309_1</t>
        </is>
      </c>
      <c r="J309" t="inlineStr">
        <is>
          <t>rcr from secl mines</t>
        </is>
      </c>
      <c r="K309" t="inlineStr">
        <is>
          <t>Other</t>
        </is>
      </c>
      <c r="L309" t="inlineStr">
        <is>
          <t>Jhabua Power Limited</t>
        </is>
      </c>
      <c r="M309" t="inlineStr">
        <is>
          <t>Madhya Pradesh</t>
        </is>
      </c>
      <c r="N309" t="inlineStr">
        <is>
          <t>Seoni</t>
        </is>
      </c>
      <c r="O309" s="5" t="n">
        <v>45700</v>
      </c>
      <c r="P309" t="inlineStr">
        <is>
          <t>Financial</t>
        </is>
      </c>
      <c r="Q309" t="inlineStr">
        <is>
          <t>-</t>
        </is>
      </c>
      <c r="R309" t="inlineStr">
        <is>
          <t>Indermani / Indramani, Omax</t>
        </is>
      </c>
      <c r="S309" t="inlineStr">
        <is>
          <t>5 named / 7</t>
        </is>
      </c>
      <c r="U309" s="6">
        <f>IF(ISNUMBER(G309),MAX(MAX(G309,Settings!$B$13)*Settings!$B$7*Settings!$B$5,IF(ISNUMBER(Settings!$B$12),Settings!$B$12,0))*(1+IF(Settings!$B$11="Y",0,Settings!$B$10/100))+N(Settings!$B$9),"")</f>
        <v/>
      </c>
      <c r="W309" s="6">
        <f>IF(ISNUMBER(V309),IF(V309*Settings!$B$8&gt;1000,"beyond table",IFERROR(LOOKUP(V309*Settings!$B$8,'FOIS 145A'!$A$2:$A$22,'FOIS 145A'!$C$2:$C$22)*(1+IF(Settings!$B$11="Y",0,Settings!$B$10/100)),"")),"")</f>
        <v/>
      </c>
      <c r="X309" s="6">
        <f>IF(AND(ISNUMBER(U309),ISNUMBER(W309)),U309+W309,"")</f>
        <v/>
      </c>
      <c r="Y309">
        <f>Settings!$B$6</f>
        <v/>
      </c>
    </row>
    <row r="310">
      <c r="A310" t="inlineStr">
        <is>
          <t>No</t>
        </is>
      </c>
      <c r="B310" t="inlineStr">
        <is>
          <t>named mine/plant is far</t>
        </is>
      </c>
      <c r="C310" t="inlineStr"/>
      <c r="E310" t="inlineStr"/>
      <c r="H310" t="inlineStr">
        <is>
          <t>17369341</t>
        </is>
      </c>
      <c r="I310" t="inlineStr">
        <is>
          <t>GEM/2026/B/7318874</t>
        </is>
      </c>
      <c r="J310" t="inlineStr">
        <is>
          <t>contract for unloading and coordination of biomass pellet at ntpc unchahar</t>
        </is>
      </c>
      <c r="K310" t="inlineStr">
        <is>
          <t>Other (biomass / coke)</t>
        </is>
      </c>
      <c r="L310" t="inlineStr">
        <is>
          <t>National Thermal Power Corporation Limited</t>
        </is>
      </c>
      <c r="M310" t="inlineStr">
        <is>
          <t>Uttar Pradesh</t>
        </is>
      </c>
      <c r="N310" t="inlineStr">
        <is>
          <t>Raebareli</t>
        </is>
      </c>
      <c r="O310" s="5" t="n">
        <v>46119</v>
      </c>
      <c r="P310" t="inlineStr">
        <is>
          <t>AOC</t>
        </is>
      </c>
      <c r="Q310" t="inlineStr">
        <is>
          <t>M/S Krishna Engineering Works</t>
        </is>
      </c>
      <c r="R310" t="inlineStr"/>
      <c r="S310" t="inlineStr">
        <is>
          <t>5 named / 18</t>
        </is>
      </c>
      <c r="T310" t="n">
        <v>1.65</v>
      </c>
      <c r="U310" s="6">
        <f>IF(ISNUMBER(G310),MAX(MAX(G310,Settings!$B$13)*Settings!$B$7*Settings!$B$5,IF(ISNUMBER(Settings!$B$12),Settings!$B$12,0))*(1+IF(Settings!$B$11="Y",0,Settings!$B$10/100))+N(Settings!$B$9),"")</f>
        <v/>
      </c>
      <c r="W310" s="6">
        <f>IF(ISNUMBER(V310),IF(V310*Settings!$B$8&gt;1000,"beyond table",IFERROR(LOOKUP(V310*Settings!$B$8,'FOIS 145A'!$A$2:$A$22,'FOIS 145A'!$C$2:$C$22)*(1+IF(Settings!$B$11="Y",0,Settings!$B$10/100)),"")),"")</f>
        <v/>
      </c>
      <c r="X310" s="6">
        <f>IF(AND(ISNUMBER(U310),ISNUMBER(W310)),U310+W310,"")</f>
        <v/>
      </c>
      <c r="Y310">
        <f>Settings!$B$6</f>
        <v/>
      </c>
    </row>
    <row r="311">
      <c r="A311" t="inlineStr">
        <is>
          <t>No</t>
        </is>
      </c>
      <c r="B311" t="inlineStr">
        <is>
          <t>plant = tender city in Uttar Pradesh; named mine/plant is far</t>
        </is>
      </c>
      <c r="C311" t="inlineStr"/>
      <c r="E311" t="inlineStr"/>
      <c r="H311" t="inlineStr">
        <is>
          <t>16554696</t>
        </is>
      </c>
      <c r="I311" t="inlineStr">
        <is>
          <t>GEM/2025/B/7039584</t>
        </is>
      </c>
      <c r="J311" t="inlineStr">
        <is>
          <t>biomass pellet unloading, handling and transferring to designated places at ntpc rihand</t>
        </is>
      </c>
      <c r="K311" t="inlineStr">
        <is>
          <t>Other (biomass / coke)</t>
        </is>
      </c>
      <c r="L311" t="inlineStr">
        <is>
          <t>National Thermal Power Corporation Limited</t>
        </is>
      </c>
      <c r="M311" t="inlineStr">
        <is>
          <t>Uttar Pradesh</t>
        </is>
      </c>
      <c r="N311" t="inlineStr">
        <is>
          <t>Sonebhadra</t>
        </is>
      </c>
      <c r="O311" s="5" t="n">
        <v>46036</v>
      </c>
      <c r="P311" t="inlineStr">
        <is>
          <t>Financial</t>
        </is>
      </c>
      <c r="Q311" t="inlineStr">
        <is>
          <t>-</t>
        </is>
      </c>
      <c r="R311" t="inlineStr"/>
      <c r="S311" t="inlineStr">
        <is>
          <t>5 named / 11</t>
        </is>
      </c>
      <c r="U311" s="6">
        <f>IF(ISNUMBER(G311),MAX(MAX(G311,Settings!$B$13)*Settings!$B$7*Settings!$B$5,IF(ISNUMBER(Settings!$B$12),Settings!$B$12,0))*(1+IF(Settings!$B$11="Y",0,Settings!$B$10/100))+N(Settings!$B$9),"")</f>
        <v/>
      </c>
      <c r="W311" s="6">
        <f>IF(ISNUMBER(V311),IF(V311*Settings!$B$8&gt;1000,"beyond table",IFERROR(LOOKUP(V311*Settings!$B$8,'FOIS 145A'!$A$2:$A$22,'FOIS 145A'!$C$2:$C$22)*(1+IF(Settings!$B$11="Y",0,Settings!$B$10/100)),"")),"")</f>
        <v/>
      </c>
      <c r="X311" s="6">
        <f>IF(AND(ISNUMBER(U311),ISNUMBER(W311)),U311+W311,"")</f>
        <v/>
      </c>
      <c r="Y311">
        <f>Settings!$B$6</f>
        <v/>
      </c>
    </row>
    <row r="312">
      <c r="A312" t="inlineStr">
        <is>
          <t>No</t>
        </is>
      </c>
      <c r="B312" t="inlineStr">
        <is>
          <t>plant = tender city in Haryana; named mine/plant is far</t>
        </is>
      </c>
      <c r="C312" t="inlineStr"/>
      <c r="E312" t="inlineStr"/>
      <c r="H312" t="inlineStr">
        <is>
          <t>16797848</t>
        </is>
      </c>
      <c r="I312" t="inlineStr">
        <is>
          <t>GEM/2025/B/6953918</t>
        </is>
      </c>
      <c r="J312" t="inlineStr">
        <is>
          <t>supply of - agro residue based biomass pellets (v2) (q3) -  | quantity - 1237350</t>
        </is>
      </c>
      <c r="K312" t="inlineStr">
        <is>
          <t>Other (biomass / coke)</t>
        </is>
      </c>
      <c r="L312" t="inlineStr">
        <is>
          <t>Aravali Power Company Private Limited</t>
        </is>
      </c>
      <c r="M312" t="inlineStr">
        <is>
          <t>Haryana</t>
        </is>
      </c>
      <c r="N312" t="inlineStr">
        <is>
          <t>Jhajjar</t>
        </is>
      </c>
      <c r="O312" s="5" t="n">
        <v>46025</v>
      </c>
      <c r="P312" t="inlineStr">
        <is>
          <t>AOC</t>
        </is>
      </c>
      <c r="Q312" t="inlineStr">
        <is>
          <t>Asian Biofuels, Avon Fuels, Balaji Biofuels, Beyond Drilling And Exploration Private Limited, Biome Industria Private Limited, D K Agro Industries, Eton Biomass Energy, Fauzi Wood Works, Green Earth Coal And Logistics Private Limited, Green Planet Agro Biofuels, Grs Bio Energy Private Limited, Ingenious Energy Solutions, Kasvi Bio Fuels Private Limited, Malwa Green Fuels India Private Limited, Mamleshwar Clean Fuel Private Limited, Manikaran Power Limited , Merveille Biofuel Private Limited, Pioneer Infinite, Syncwin Solutions Private Limited, Tez Engineering And Infrastructures, Waste Resource Management Private Limited, Saikrupa Green Energy Private Limited, Sandhu Bio Fuels, Shiva Biofuels Private Limited, Shree Vidhya Sagar Bio Energy Private Limited, Shri Vasudev Green Fuels Llp, Skillflare Technologies Private Limited, Soiltilizer Private Limited, Ssar Biomass Green Private Limited, Sss Green Energy, Star Agro Power Private Limited, A One Sustainable Energy, Ab Bioenergy Corporat</t>
        </is>
      </c>
      <c r="R312" t="inlineStr"/>
      <c r="S312" t="inlineStr">
        <is>
          <t>5 named / 179</t>
        </is>
      </c>
      <c r="T312" t="n">
        <v>302.31</v>
      </c>
      <c r="U312" s="6">
        <f>IF(ISNUMBER(G312),MAX(MAX(G312,Settings!$B$13)*Settings!$B$7*Settings!$B$5,IF(ISNUMBER(Settings!$B$12),Settings!$B$12,0))*(1+IF(Settings!$B$11="Y",0,Settings!$B$10/100))+N(Settings!$B$9),"")</f>
        <v/>
      </c>
      <c r="W312" s="6">
        <f>IF(ISNUMBER(V312),IF(V312*Settings!$B$8&gt;1000,"beyond table",IFERROR(LOOKUP(V312*Settings!$B$8,'FOIS 145A'!$A$2:$A$22,'FOIS 145A'!$C$2:$C$22)*(1+IF(Settings!$B$11="Y",0,Settings!$B$10/100)),"")),"")</f>
        <v/>
      </c>
      <c r="X312" s="6">
        <f>IF(AND(ISNUMBER(U312),ISNUMBER(W312)),U312+W312,"")</f>
        <v/>
      </c>
      <c r="Y312">
        <f>Settings!$B$6</f>
        <v/>
      </c>
    </row>
    <row r="313">
      <c r="A313" t="inlineStr">
        <is>
          <t>No</t>
        </is>
      </c>
      <c r="B313" t="inlineStr">
        <is>
          <t>named mine/plant is far</t>
        </is>
      </c>
      <c r="C313" t="inlineStr"/>
      <c r="E313" t="inlineStr"/>
      <c r="H313" t="inlineStr">
        <is>
          <t>16555314</t>
        </is>
      </c>
      <c r="I313" t="inlineStr">
        <is>
          <t>GEM/2025/B/6761458</t>
        </is>
      </c>
      <c r="J313" t="inlineStr">
        <is>
          <t>deployment of excavator, backhoe loader, tipper truck &amp; work force for wagon tippler hopper grill cleaning and biomass pellet unloading at ntpc solapur</t>
        </is>
      </c>
      <c r="K313" t="inlineStr">
        <is>
          <t>Other (biomass / coke)</t>
        </is>
      </c>
      <c r="L313" t="inlineStr">
        <is>
          <t>National Thermal Power Corporation Limited</t>
        </is>
      </c>
      <c r="M313" t="inlineStr">
        <is>
          <t>Maharashtra</t>
        </is>
      </c>
      <c r="N313" t="inlineStr">
        <is>
          <t>Solapur</t>
        </is>
      </c>
      <c r="O313" s="5" t="n">
        <v>45986</v>
      </c>
      <c r="P313" t="inlineStr">
        <is>
          <t>AOC</t>
        </is>
      </c>
      <c r="Q313" t="inlineStr">
        <is>
          <t>B Y Enterprises</t>
        </is>
      </c>
      <c r="R313" t="inlineStr"/>
      <c r="S313" t="inlineStr">
        <is>
          <t>5 named / 10</t>
        </is>
      </c>
      <c r="T313" t="n">
        <v>6.77</v>
      </c>
      <c r="U313" s="6">
        <f>IF(ISNUMBER(G313),MAX(MAX(G313,Settings!$B$13)*Settings!$B$7*Settings!$B$5,IF(ISNUMBER(Settings!$B$12),Settings!$B$12,0))*(1+IF(Settings!$B$11="Y",0,Settings!$B$10/100))+N(Settings!$B$9),"")</f>
        <v/>
      </c>
      <c r="W313" s="6">
        <f>IF(ISNUMBER(V313),IF(V313*Settings!$B$8&gt;1000,"beyond table",IFERROR(LOOKUP(V313*Settings!$B$8,'FOIS 145A'!$A$2:$A$22,'FOIS 145A'!$C$2:$C$22)*(1+IF(Settings!$B$11="Y",0,Settings!$B$10/100)),"")),"")</f>
        <v/>
      </c>
      <c r="X313" s="6">
        <f>IF(AND(ISNUMBER(U313),ISNUMBER(W313)),U313+W313,"")</f>
        <v/>
      </c>
      <c r="Y313">
        <f>Settings!$B$6</f>
        <v/>
      </c>
    </row>
    <row r="314">
      <c r="A314" t="inlineStr">
        <is>
          <t>No</t>
        </is>
      </c>
      <c r="B314" t="inlineStr">
        <is>
          <t>plant = tender city in Jharkhand; named mine/plant is far</t>
        </is>
      </c>
      <c r="C314" t="inlineStr"/>
      <c r="E314" t="inlineStr"/>
      <c r="H314" t="inlineStr">
        <is>
          <t>15918666</t>
        </is>
      </c>
      <c r="I314" t="inlineStr">
        <is>
          <t>GEM/2025/B/6380205</t>
        </is>
      </c>
      <c r="J314" t="inlineStr">
        <is>
          <t>supply of - agro residue based biomass pellets (v2) (q3) | quantity - 51100</t>
        </is>
      </c>
      <c r="K314" t="inlineStr">
        <is>
          <t>Other (biomass / coke)</t>
        </is>
      </c>
      <c r="L314" t="inlineStr">
        <is>
          <t>Damodar Valley Corporation</t>
        </is>
      </c>
      <c r="M314" t="inlineStr">
        <is>
          <t>Jharkhand</t>
        </is>
      </c>
      <c r="N314" t="inlineStr">
        <is>
          <t>Koderma</t>
        </is>
      </c>
      <c r="O314" s="5" t="n">
        <v>45885</v>
      </c>
      <c r="P314" t="inlineStr">
        <is>
          <t>AOC</t>
        </is>
      </c>
      <c r="Q314" t="inlineStr">
        <is>
          <t>Rashmi 6 Paradigm Limited, Shiv Ganga Enterprises</t>
        </is>
      </c>
      <c r="R314" t="inlineStr"/>
      <c r="S314" t="inlineStr">
        <is>
          <t>5 named / 25</t>
        </is>
      </c>
      <c r="T314" t="n">
        <v>50.15</v>
      </c>
      <c r="U314" s="6">
        <f>IF(ISNUMBER(G314),MAX(MAX(G314,Settings!$B$13)*Settings!$B$7*Settings!$B$5,IF(ISNUMBER(Settings!$B$12),Settings!$B$12,0))*(1+IF(Settings!$B$11="Y",0,Settings!$B$10/100))+N(Settings!$B$9),"")</f>
        <v/>
      </c>
      <c r="W314" s="6">
        <f>IF(ISNUMBER(V314),IF(V314*Settings!$B$8&gt;1000,"beyond table",IFERROR(LOOKUP(V314*Settings!$B$8,'FOIS 145A'!$A$2:$A$22,'FOIS 145A'!$C$2:$C$22)*(1+IF(Settings!$B$11="Y",0,Settings!$B$10/100)),"")),"")</f>
        <v/>
      </c>
      <c r="X314" s="6">
        <f>IF(AND(ISNUMBER(U314),ISNUMBER(W314)),U314+W314,"")</f>
        <v/>
      </c>
      <c r="Y314">
        <f>Settings!$B$6</f>
        <v/>
      </c>
    </row>
    <row r="315">
      <c r="A315" t="inlineStr">
        <is>
          <t>No</t>
        </is>
      </c>
      <c r="B315" t="inlineStr">
        <is>
          <t>plant = tender city in Jharkhand; named mine/plant is far</t>
        </is>
      </c>
      <c r="C315" t="inlineStr"/>
      <c r="E315" t="inlineStr"/>
      <c r="H315" t="inlineStr">
        <is>
          <t>15918668</t>
        </is>
      </c>
      <c r="I315" t="inlineStr">
        <is>
          <t>GEM/2025/B/6375299</t>
        </is>
      </c>
      <c r="J315" t="inlineStr">
        <is>
          <t>supply of - agro residue based biomass pellets (v2) (q3) | quantity - 29200</t>
        </is>
      </c>
      <c r="K315" t="inlineStr">
        <is>
          <t>Other (biomass / coke)</t>
        </is>
      </c>
      <c r="L315" t="inlineStr">
        <is>
          <t>Damodar Valley Corporation</t>
        </is>
      </c>
      <c r="M315" t="inlineStr">
        <is>
          <t>Jharkhand</t>
        </is>
      </c>
      <c r="N315" t="inlineStr">
        <is>
          <t>Bokaro</t>
        </is>
      </c>
      <c r="O315" s="5" t="n">
        <v>45885</v>
      </c>
      <c r="P315" t="inlineStr">
        <is>
          <t>AOC</t>
        </is>
      </c>
      <c r="Q315" t="inlineStr">
        <is>
          <t>Shiv Ganga Enterprises</t>
        </is>
      </c>
      <c r="R315" t="inlineStr"/>
      <c r="S315" t="inlineStr">
        <is>
          <t>5 named / 24</t>
        </is>
      </c>
      <c r="T315" t="n">
        <v>28.69</v>
      </c>
      <c r="U315" s="6">
        <f>IF(ISNUMBER(G315),MAX(MAX(G315,Settings!$B$13)*Settings!$B$7*Settings!$B$5,IF(ISNUMBER(Settings!$B$12),Settings!$B$12,0))*(1+IF(Settings!$B$11="Y",0,Settings!$B$10/100))+N(Settings!$B$9),"")</f>
        <v/>
      </c>
      <c r="W315" s="6">
        <f>IF(ISNUMBER(V315),IF(V315*Settings!$B$8&gt;1000,"beyond table",IFERROR(LOOKUP(V315*Settings!$B$8,'FOIS 145A'!$A$2:$A$22,'FOIS 145A'!$C$2:$C$22)*(1+IF(Settings!$B$11="Y",0,Settings!$B$10/100)),"")),"")</f>
        <v/>
      </c>
      <c r="X315" s="6">
        <f>IF(AND(ISNUMBER(U315),ISNUMBER(W315)),U315+W315,"")</f>
        <v/>
      </c>
      <c r="Y315">
        <f>Settings!$B$6</f>
        <v/>
      </c>
    </row>
    <row r="316">
      <c r="A316" t="inlineStr">
        <is>
          <t>No</t>
        </is>
      </c>
      <c r="B316" t="inlineStr">
        <is>
          <t>plant = tender city in Andhra Pradesh; named mine/plant is far</t>
        </is>
      </c>
      <c r="C316" t="inlineStr"/>
      <c r="E316" t="inlineStr"/>
      <c r="H316" t="inlineStr">
        <is>
          <t>13423219</t>
        </is>
      </c>
      <c r="I316" t="inlineStr">
        <is>
          <t>GEM/2025/B/6145041</t>
        </is>
      </c>
      <c r="J316" t="inlineStr">
        <is>
          <t>bf coke</t>
        </is>
      </c>
      <c r="K316" t="inlineStr">
        <is>
          <t>Other (biomass / coke)</t>
        </is>
      </c>
      <c r="L316" t="inlineStr">
        <is>
          <t>Rashtriya Ispat Nigam Limited</t>
        </is>
      </c>
      <c r="M316" t="inlineStr">
        <is>
          <t>Andhra Pradesh</t>
        </is>
      </c>
      <c r="N316" t="inlineStr">
        <is>
          <t>Visakhapatnam</t>
        </is>
      </c>
      <c r="O316" s="5" t="n">
        <v>45775</v>
      </c>
      <c r="P316" t="inlineStr">
        <is>
          <t>AOC</t>
        </is>
      </c>
      <c r="Q316" t="inlineStr">
        <is>
          <t>Alps Mining Services Private Limited, Mahalaxmi Ennore Coke And Power Private Limited</t>
        </is>
      </c>
      <c r="R316" t="inlineStr"/>
      <c r="S316" t="inlineStr">
        <is>
          <t>5 named / 6</t>
        </is>
      </c>
      <c r="T316" t="n">
        <v>153.3</v>
      </c>
      <c r="U316" s="6">
        <f>IF(ISNUMBER(G316),MAX(MAX(G316,Settings!$B$13)*Settings!$B$7*Settings!$B$5,IF(ISNUMBER(Settings!$B$12),Settings!$B$12,0))*(1+IF(Settings!$B$11="Y",0,Settings!$B$10/100))+N(Settings!$B$9),"")</f>
        <v/>
      </c>
      <c r="W316" s="6">
        <f>IF(ISNUMBER(V316),IF(V316*Settings!$B$8&gt;1000,"beyond table",IFERROR(LOOKUP(V316*Settings!$B$8,'FOIS 145A'!$A$2:$A$22,'FOIS 145A'!$C$2:$C$22)*(1+IF(Settings!$B$11="Y",0,Settings!$B$10/100)),"")),"")</f>
        <v/>
      </c>
      <c r="X316" s="6">
        <f>IF(AND(ISNUMBER(U316),ISNUMBER(W316)),U316+W316,"")</f>
        <v/>
      </c>
      <c r="Y316">
        <f>Settings!$B$6</f>
        <v/>
      </c>
    </row>
    <row r="317">
      <c r="A317" t="inlineStr">
        <is>
          <t>No</t>
        </is>
      </c>
      <c r="B317" t="inlineStr">
        <is>
          <t>mine = coal company's tender in Jharkhand; named mine/plant is far</t>
        </is>
      </c>
      <c r="C317" t="inlineStr"/>
      <c r="E317" t="inlineStr"/>
      <c r="H317" t="inlineStr">
        <is>
          <t>16606281</t>
        </is>
      </c>
      <c r="I317" t="inlineStr">
        <is>
          <t>GEM/2026/B/7087494</t>
        </is>
      </c>
      <c r="J317" t="inlineStr">
        <is>
          <t>handling service, transport service, handling &amp; transport service, loading and transportation of 75,000 te of coal from tapin north ocp coal stock yard to kedla washery for a pe..</t>
        </is>
      </c>
      <c r="K317" t="inlineStr">
        <is>
          <t>Washery / beneficiation</t>
        </is>
      </c>
      <c r="L317" t="inlineStr">
        <is>
          <t>Central Coalfields Limited</t>
        </is>
      </c>
      <c r="M317" t="inlineStr">
        <is>
          <t>Jharkhand</t>
        </is>
      </c>
      <c r="N317" t="inlineStr">
        <is>
          <t>Hazaribagh</t>
        </is>
      </c>
      <c r="O317" s="5" t="n">
        <v>46045</v>
      </c>
      <c r="P317" t="inlineStr">
        <is>
          <t>AOC</t>
        </is>
      </c>
      <c r="Q317" t="inlineStr">
        <is>
          <t>Jai Ma Tara Projects</t>
        </is>
      </c>
      <c r="R317" t="inlineStr"/>
      <c r="S317" t="inlineStr">
        <is>
          <t>5 named / 8</t>
        </is>
      </c>
      <c r="T317" t="n">
        <v>0.93</v>
      </c>
      <c r="U317" s="6">
        <f>IF(ISNUMBER(G317),MAX(MAX(G317,Settings!$B$13)*Settings!$B$7*Settings!$B$5,IF(ISNUMBER(Settings!$B$12),Settings!$B$12,0))*(1+IF(Settings!$B$11="Y",0,Settings!$B$10/100))+N(Settings!$B$9),"")</f>
        <v/>
      </c>
      <c r="W317" s="6">
        <f>IF(ISNUMBER(V317),IF(V317*Settings!$B$8&gt;1000,"beyond table",IFERROR(LOOKUP(V317*Settings!$B$8,'FOIS 145A'!$A$2:$A$22,'FOIS 145A'!$C$2:$C$22)*(1+IF(Settings!$B$11="Y",0,Settings!$B$10/100)),"")),"")</f>
        <v/>
      </c>
      <c r="X317" s="6">
        <f>IF(AND(ISNUMBER(U317),ISNUMBER(W317)),U317+W317,"")</f>
        <v/>
      </c>
      <c r="Y317">
        <f>Settings!$B$6</f>
        <v/>
      </c>
    </row>
    <row r="318">
      <c r="A318" t="inlineStr">
        <is>
          <t>No</t>
        </is>
      </c>
      <c r="B318" t="inlineStr">
        <is>
          <t>mine = coal company's tender in Jharkhand; named mine/plant is far</t>
        </is>
      </c>
      <c r="C318" t="inlineStr"/>
      <c r="E318" t="inlineStr"/>
      <c r="H318" t="inlineStr">
        <is>
          <t>16008731</t>
        </is>
      </c>
      <c r="I318" t="inlineStr">
        <is>
          <t>GEM/2025/B/6799953</t>
        </is>
      </c>
      <c r="J318" t="inlineStr">
        <is>
          <t>handling service, transport service, handling &amp; transport service, loading of coal by contractor’s pay loader into contractor’s tipping trucks at surface stock of kedla washery ..</t>
        </is>
      </c>
      <c r="K318" t="inlineStr">
        <is>
          <t>Washery / beneficiation</t>
        </is>
      </c>
      <c r="L318" t="inlineStr">
        <is>
          <t>Central Coalfields Limited</t>
        </is>
      </c>
      <c r="M318" t="inlineStr">
        <is>
          <t>Jharkhand</t>
        </is>
      </c>
      <c r="N318" t="inlineStr">
        <is>
          <t>Hazaribagh</t>
        </is>
      </c>
      <c r="O318" s="5" t="n">
        <v>45961</v>
      </c>
      <c r="P318" t="inlineStr">
        <is>
          <t>AOC</t>
        </is>
      </c>
      <c r="Q318" t="inlineStr">
        <is>
          <t>Rajeev Transport Coal Agency</t>
        </is>
      </c>
      <c r="R318" t="inlineStr"/>
      <c r="S318" t="inlineStr">
        <is>
          <t>5 named / 12</t>
        </is>
      </c>
      <c r="T318" t="n">
        <v>39.18</v>
      </c>
      <c r="U318" s="6">
        <f>IF(ISNUMBER(G318),MAX(MAX(G318,Settings!$B$13)*Settings!$B$7*Settings!$B$5,IF(ISNUMBER(Settings!$B$12),Settings!$B$12,0))*(1+IF(Settings!$B$11="Y",0,Settings!$B$10/100))+N(Settings!$B$9),"")</f>
        <v/>
      </c>
      <c r="W318" s="6">
        <f>IF(ISNUMBER(V318),IF(V318*Settings!$B$8&gt;1000,"beyond table",IFERROR(LOOKUP(V318*Settings!$B$8,'FOIS 145A'!$A$2:$A$22,'FOIS 145A'!$C$2:$C$22)*(1+IF(Settings!$B$11="Y",0,Settings!$B$10/100)),"")),"")</f>
        <v/>
      </c>
      <c r="X318" s="6">
        <f>IF(AND(ISNUMBER(U318),ISNUMBER(W318)),U318+W318,"")</f>
        <v/>
      </c>
      <c r="Y318">
        <f>Settings!$B$6</f>
        <v/>
      </c>
    </row>
    <row r="319">
      <c r="A319" t="inlineStr">
        <is>
          <t>No</t>
        </is>
      </c>
      <c r="B319" t="inlineStr">
        <is>
          <t>mine = coal company's tender in Jharkhand; named mine/plant is far</t>
        </is>
      </c>
      <c r="C319" t="inlineStr"/>
      <c r="E319" t="inlineStr"/>
      <c r="H319" t="inlineStr">
        <is>
          <t>15869642</t>
        </is>
      </c>
      <c r="I319" t="inlineStr">
        <is>
          <t>GEM/2025/B/6770510</t>
        </is>
      </c>
      <c r="J319" t="inlineStr">
        <is>
          <t>handling &amp; transport service, contractual unloading (mechanical cum manual) of coal from the rake of boxn wagons and transporting along with allied jobs at patherdih nlw washery</t>
        </is>
      </c>
      <c r="K319" t="inlineStr">
        <is>
          <t>Washery / beneficiation</t>
        </is>
      </c>
      <c r="L319" t="inlineStr">
        <is>
          <t>Bharat Coking Coal Limited</t>
        </is>
      </c>
      <c r="M319" t="inlineStr">
        <is>
          <t>Jharkhand</t>
        </is>
      </c>
      <c r="N319" t="inlineStr">
        <is>
          <t>Dhanbad</t>
        </is>
      </c>
      <c r="O319" s="5" t="n">
        <v>45960</v>
      </c>
      <c r="P319" t="inlineStr">
        <is>
          <t>AOC</t>
        </is>
      </c>
      <c r="Q319" t="inlineStr">
        <is>
          <t>Agarwal And Co</t>
        </is>
      </c>
      <c r="R319" t="inlineStr">
        <is>
          <t>United Coal Carriers</t>
        </is>
      </c>
      <c r="S319" t="inlineStr">
        <is>
          <t>5 named / 5</t>
        </is>
      </c>
      <c r="T319" t="n">
        <v>13.08</v>
      </c>
      <c r="U319" s="6">
        <f>IF(ISNUMBER(G319),MAX(MAX(G319,Settings!$B$13)*Settings!$B$7*Settings!$B$5,IF(ISNUMBER(Settings!$B$12),Settings!$B$12,0))*(1+IF(Settings!$B$11="Y",0,Settings!$B$10/100))+N(Settings!$B$9),"")</f>
        <v/>
      </c>
      <c r="W319" s="6">
        <f>IF(ISNUMBER(V319),IF(V319*Settings!$B$8&gt;1000,"beyond table",IFERROR(LOOKUP(V319*Settings!$B$8,'FOIS 145A'!$A$2:$A$22,'FOIS 145A'!$C$2:$C$22)*(1+IF(Settings!$B$11="Y",0,Settings!$B$10/100)),"")),"")</f>
        <v/>
      </c>
      <c r="X319" s="6">
        <f>IF(AND(ISNUMBER(U319),ISNUMBER(W319)),U319+W319,"")</f>
        <v/>
      </c>
      <c r="Y319">
        <f>Settings!$B$6</f>
        <v/>
      </c>
    </row>
    <row r="320">
      <c r="A320" t="inlineStr">
        <is>
          <t>No</t>
        </is>
      </c>
      <c r="B320" t="inlineStr">
        <is>
          <t>mine = coal company's tender in Jharkhand; named mine/plant is far</t>
        </is>
      </c>
      <c r="C320" t="inlineStr"/>
      <c r="E320" t="inlineStr"/>
      <c r="H320" t="inlineStr">
        <is>
          <t>15855551</t>
        </is>
      </c>
      <c r="I320" t="inlineStr">
        <is>
          <t>GEM/2025/B/6740863</t>
        </is>
      </c>
      <c r="J320" t="inlineStr">
        <is>
          <t>handling &amp; transport service, transportation of 27,74,000 tonne of washery products such as washed coal, washed coal (power)  rejects on daily basis. washed coal, washed coal ..</t>
        </is>
      </c>
      <c r="K320" t="inlineStr">
        <is>
          <t>Washery / beneficiation</t>
        </is>
      </c>
      <c r="L320" t="inlineStr">
        <is>
          <t>Bharat Coking Coal Limited</t>
        </is>
      </c>
      <c r="M320" t="inlineStr">
        <is>
          <t>Jharkhand</t>
        </is>
      </c>
      <c r="N320" t="inlineStr">
        <is>
          <t>Dhanbad</t>
        </is>
      </c>
      <c r="O320" s="5" t="n">
        <v>45945</v>
      </c>
      <c r="P320" t="inlineStr">
        <is>
          <t>AOC</t>
        </is>
      </c>
      <c r="Q320" t="inlineStr">
        <is>
          <t>Singh Natural Resource Private Limited</t>
        </is>
      </c>
      <c r="R320" t="inlineStr"/>
      <c r="S320" t="inlineStr">
        <is>
          <t>5 named / 12</t>
        </is>
      </c>
      <c r="T320" t="n">
        <v>9.19</v>
      </c>
      <c r="U320" s="6">
        <f>IF(ISNUMBER(G320),MAX(MAX(G320,Settings!$B$13)*Settings!$B$7*Settings!$B$5,IF(ISNUMBER(Settings!$B$12),Settings!$B$12,0))*(1+IF(Settings!$B$11="Y",0,Settings!$B$10/100))+N(Settings!$B$9),"")</f>
        <v/>
      </c>
      <c r="W320" s="6">
        <f>IF(ISNUMBER(V320),IF(V320*Settings!$B$8&gt;1000,"beyond table",IFERROR(LOOKUP(V320*Settings!$B$8,'FOIS 145A'!$A$2:$A$22,'FOIS 145A'!$C$2:$C$22)*(1+IF(Settings!$B$11="Y",0,Settings!$B$10/100)),"")),"")</f>
        <v/>
      </c>
      <c r="X320" s="6">
        <f>IF(AND(ISNUMBER(U320),ISNUMBER(W320)),U320+W320,"")</f>
        <v/>
      </c>
      <c r="Y320">
        <f>Settings!$B$6</f>
        <v/>
      </c>
    </row>
    <row r="321">
      <c r="A321" t="inlineStr">
        <is>
          <t>No</t>
        </is>
      </c>
      <c r="B321" t="inlineStr">
        <is>
          <t>mine = coal company's tender in Jharkhand; named mine/plant is far</t>
        </is>
      </c>
      <c r="C321" t="inlineStr"/>
      <c r="E321" t="inlineStr"/>
      <c r="H321" t="inlineStr">
        <is>
          <t>16042180</t>
        </is>
      </c>
      <c r="I321" t="inlineStr">
        <is>
          <t>GEM/2025/B/6658121</t>
        </is>
      </c>
      <c r="J321" t="inlineStr">
        <is>
          <t>loading and transportation of 50.0 lakh te of processed coal from kedla washery to chainpur siding and loading of coal into wagons by pay loader and other allied jobs at chainpur siding for a period o</t>
        </is>
      </c>
      <c r="K321" t="inlineStr">
        <is>
          <t>Washery / beneficiation</t>
        </is>
      </c>
      <c r="L321" t="inlineStr">
        <is>
          <t>Central Coalfields Limited</t>
        </is>
      </c>
      <c r="M321" t="inlineStr">
        <is>
          <t>Jharkhand</t>
        </is>
      </c>
      <c r="N321" t="inlineStr">
        <is>
          <t>Ranchi</t>
        </is>
      </c>
      <c r="O321" s="5" t="n">
        <v>45923</v>
      </c>
      <c r="P321" t="inlineStr">
        <is>
          <t>AOC</t>
        </is>
      </c>
      <c r="Q321" t="inlineStr">
        <is>
          <t>Shai Transporter</t>
        </is>
      </c>
      <c r="R321" t="inlineStr"/>
      <c r="S321" t="inlineStr">
        <is>
          <t>5 named / 16</t>
        </is>
      </c>
      <c r="T321" t="n">
        <v>76.45999999999999</v>
      </c>
      <c r="U321" s="6">
        <f>IF(ISNUMBER(G321),MAX(MAX(G321,Settings!$B$13)*Settings!$B$7*Settings!$B$5,IF(ISNUMBER(Settings!$B$12),Settings!$B$12,0))*(1+IF(Settings!$B$11="Y",0,Settings!$B$10/100))+N(Settings!$B$9),"")</f>
        <v/>
      </c>
      <c r="W321" s="6">
        <f>IF(ISNUMBER(V321),IF(V321*Settings!$B$8&gt;1000,"beyond table",IFERROR(LOOKUP(V321*Settings!$B$8,'FOIS 145A'!$A$2:$A$22,'FOIS 145A'!$C$2:$C$22)*(1+IF(Settings!$B$11="Y",0,Settings!$B$10/100)),"")),"")</f>
        <v/>
      </c>
      <c r="X321" s="6">
        <f>IF(AND(ISNUMBER(U321),ISNUMBER(W321)),U321+W321,"")</f>
        <v/>
      </c>
      <c r="Y321">
        <f>Settings!$B$6</f>
        <v/>
      </c>
    </row>
  </sheetData>
  <autoFilter ref="A1:Y3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8" customWidth="1" min="6" max="6"/>
  </cols>
  <sheetData>
    <row r="1">
      <c r="A1" s="8" t="inlineStr">
        <is>
          <t>Category</t>
        </is>
      </c>
      <c r="B1" s="8" t="inlineStr">
        <is>
          <t>Edge: Yes</t>
        </is>
      </c>
      <c r="C1" s="8" t="inlineStr">
        <is>
          <t>Borderline</t>
        </is>
      </c>
      <c r="D1" s="8" t="inlineStr">
        <is>
          <t>Unknown</t>
        </is>
      </c>
      <c r="E1" s="8" t="inlineStr">
        <is>
          <t>No</t>
        </is>
      </c>
      <c r="F1" s="8" t="inlineStr">
        <is>
          <t>Edge Yes awarded Rs Cr (sum)</t>
        </is>
      </c>
    </row>
    <row r="2">
      <c r="A2" t="inlineStr">
        <is>
          <t>Coal supply</t>
        </is>
      </c>
      <c r="B2">
        <f>COUNTIFS(Master!$K$2:$K$321,$A2,Master!$A$2:$A$321,"Yes")</f>
        <v/>
      </c>
      <c r="C2">
        <f>COUNTIFS(Master!$K$2:$K$321,$A2,Master!$A$2:$A$321,"Borderline")</f>
        <v/>
      </c>
      <c r="D2">
        <f>COUNTIFS(Master!$K$2:$K$321,$A2,Master!$A$2:$A$321,"Unknown")</f>
        <v/>
      </c>
      <c r="E2">
        <f>COUNTIFS(Master!$K$2:$K$321,$A2,Master!$A$2:$A$321,"No")</f>
        <v/>
      </c>
      <c r="F2">
        <f>SUMIFS(Master!$T$2:$T$321,Master!$K$2:$K$321,$A2,Master!$A$2:$A$321,"Yes")</f>
        <v/>
      </c>
    </row>
    <row r="3">
      <c r="A3" t="inlineStr">
        <is>
          <t>Coal transport (RCR / siding)</t>
        </is>
      </c>
      <c r="B3">
        <f>COUNTIFS(Master!$K$2:$K$321,$A3,Master!$A$2:$A$321,"Yes")</f>
        <v/>
      </c>
      <c r="C3">
        <f>COUNTIFS(Master!$K$2:$K$321,$A3,Master!$A$2:$A$321,"Borderline")</f>
        <v/>
      </c>
      <c r="D3">
        <f>COUNTIFS(Master!$K$2:$K$321,$A3,Master!$A$2:$A$321,"Unknown")</f>
        <v/>
      </c>
      <c r="E3">
        <f>COUNTIFS(Master!$K$2:$K$321,$A3,Master!$A$2:$A$321,"No")</f>
        <v/>
      </c>
      <c r="F3">
        <f>SUMIFS(Master!$T$2:$T$321,Master!$K$2:$K$321,$A3,Master!$A$2:$A$321,"Yes")</f>
        <v/>
      </c>
    </row>
    <row r="4">
      <c r="A4" t="inlineStr">
        <is>
          <t>Coal transport (road)</t>
        </is>
      </c>
      <c r="B4">
        <f>COUNTIFS(Master!$K$2:$K$321,$A4,Master!$A$2:$A$321,"Yes")</f>
        <v/>
      </c>
      <c r="C4">
        <f>COUNTIFS(Master!$K$2:$K$321,$A4,Master!$A$2:$A$321,"Borderline")</f>
        <v/>
      </c>
      <c r="D4">
        <f>COUNTIFS(Master!$K$2:$K$321,$A4,Master!$A$2:$A$321,"Unknown")</f>
        <v/>
      </c>
      <c r="E4">
        <f>COUNTIFS(Master!$K$2:$K$321,$A4,Master!$A$2:$A$321,"No")</f>
        <v/>
      </c>
      <c r="F4">
        <f>SUMIFS(Master!$T$2:$T$321,Master!$K$2:$K$321,$A4,Master!$A$2:$A$321,"Yes")</f>
        <v/>
      </c>
    </row>
    <row r="5">
      <c r="A5" t="inlineStr">
        <is>
          <t>Loading / handling / crushing</t>
        </is>
      </c>
      <c r="B5">
        <f>COUNTIFS(Master!$K$2:$K$321,$A5,Master!$A$2:$A$321,"Yes")</f>
        <v/>
      </c>
      <c r="C5">
        <f>COUNTIFS(Master!$K$2:$K$321,$A5,Master!$A$2:$A$321,"Borderline")</f>
        <v/>
      </c>
      <c r="D5">
        <f>COUNTIFS(Master!$K$2:$K$321,$A5,Master!$A$2:$A$321,"Unknown")</f>
        <v/>
      </c>
      <c r="E5">
        <f>COUNTIFS(Master!$K$2:$K$321,$A5,Master!$A$2:$A$321,"No")</f>
        <v/>
      </c>
      <c r="F5">
        <f>SUMIFS(Master!$T$2:$T$321,Master!$K$2:$K$321,$A5,Master!$A$2:$A$321,"Yes")</f>
        <v/>
      </c>
    </row>
    <row r="6">
      <c r="A6" t="inlineStr">
        <is>
          <t>Mining services (OB / extraction)</t>
        </is>
      </c>
      <c r="B6">
        <f>COUNTIFS(Master!$K$2:$K$321,$A6,Master!$A$2:$A$321,"Yes")</f>
        <v/>
      </c>
      <c r="C6">
        <f>COUNTIFS(Master!$K$2:$K$321,$A6,Master!$A$2:$A$321,"Borderline")</f>
        <v/>
      </c>
      <c r="D6">
        <f>COUNTIFS(Master!$K$2:$K$321,$A6,Master!$A$2:$A$321,"Unknown")</f>
        <v/>
      </c>
      <c r="E6">
        <f>COUNTIFS(Master!$K$2:$K$321,$A6,Master!$A$2:$A$321,"No")</f>
        <v/>
      </c>
      <c r="F6">
        <f>SUMIFS(Master!$T$2:$T$321,Master!$K$2:$K$321,$A6,Master!$A$2:$A$321,"Yes")</f>
        <v/>
      </c>
    </row>
    <row r="7">
      <c r="A7" t="inlineStr">
        <is>
          <t>Other</t>
        </is>
      </c>
      <c r="B7">
        <f>COUNTIFS(Master!$K$2:$K$321,$A7,Master!$A$2:$A$321,"Yes")</f>
        <v/>
      </c>
      <c r="C7">
        <f>COUNTIFS(Master!$K$2:$K$321,$A7,Master!$A$2:$A$321,"Borderline")</f>
        <v/>
      </c>
      <c r="D7">
        <f>COUNTIFS(Master!$K$2:$K$321,$A7,Master!$A$2:$A$321,"Unknown")</f>
        <v/>
      </c>
      <c r="E7">
        <f>COUNTIFS(Master!$K$2:$K$321,$A7,Master!$A$2:$A$321,"No")</f>
        <v/>
      </c>
      <c r="F7">
        <f>SUMIFS(Master!$T$2:$T$321,Master!$K$2:$K$321,$A7,Master!$A$2:$A$321,"Yes")</f>
        <v/>
      </c>
    </row>
    <row r="8">
      <c r="A8" t="inlineStr">
        <is>
          <t>Other (biomass / coke)</t>
        </is>
      </c>
      <c r="B8">
        <f>COUNTIFS(Master!$K$2:$K$321,$A8,Master!$A$2:$A$321,"Yes")</f>
        <v/>
      </c>
      <c r="C8">
        <f>COUNTIFS(Master!$K$2:$K$321,$A8,Master!$A$2:$A$321,"Borderline")</f>
        <v/>
      </c>
      <c r="D8">
        <f>COUNTIFS(Master!$K$2:$K$321,$A8,Master!$A$2:$A$321,"Unknown")</f>
        <v/>
      </c>
      <c r="E8">
        <f>COUNTIFS(Master!$K$2:$K$321,$A8,Master!$A$2:$A$321,"No")</f>
        <v/>
      </c>
      <c r="F8">
        <f>SUMIFS(Master!$T$2:$T$321,Master!$K$2:$K$321,$A8,Master!$A$2:$A$321,"Yes")</f>
        <v/>
      </c>
    </row>
    <row r="9">
      <c r="A9" t="inlineStr">
        <is>
          <t>Washery / beneficiation</t>
        </is>
      </c>
      <c r="B9">
        <f>COUNTIFS(Master!$K$2:$K$321,$A9,Master!$A$2:$A$321,"Yes")</f>
        <v/>
      </c>
      <c r="C9">
        <f>COUNTIFS(Master!$K$2:$K$321,$A9,Master!$A$2:$A$321,"Borderline")</f>
        <v/>
      </c>
      <c r="D9">
        <f>COUNTIFS(Master!$K$2:$K$321,$A9,Master!$A$2:$A$321,"Unknown")</f>
        <v/>
      </c>
      <c r="E9">
        <f>COUNTIFS(Master!$K$2:$K$321,$A9,Master!$A$2:$A$321,"No")</f>
        <v/>
      </c>
      <c r="F9">
        <f>SUMIFS(Master!$T$2:$T$321,Master!$K$2:$K$321,$A9,Master!$A$2:$A$321,"Yes")</f>
        <v/>
      </c>
    </row>
    <row r="10">
      <c r="A10" s="9" t="inlineStr">
        <is>
          <t>Total</t>
        </is>
      </c>
      <c r="B10">
        <f>SUM(B2:B9)</f>
        <v/>
      </c>
      <c r="C10">
        <f>SUM(C2:C9)</f>
        <v/>
      </c>
      <c r="D10">
        <f>SUM(D2:D9)</f>
        <v/>
      </c>
      <c r="E10">
        <f>SUM(E2:E9)</f>
        <v/>
      </c>
      <c r="F10">
        <f>SUM(F2:F9)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C15"/>
  <sheetViews>
    <sheetView workbookViewId="0">
      <selection activeCell="A1" sqref="A1"/>
    </sheetView>
  </sheetViews>
  <sheetFormatPr baseColWidth="8" defaultRowHeight="15"/>
  <cols>
    <col width="48" customWidth="1" min="1" max="1"/>
    <col width="34" customWidth="1" min="2" max="2"/>
    <col width="95" customWidth="1" min="3" max="3"/>
  </cols>
  <sheetData>
    <row r="2">
      <c r="A2" s="8" t="inlineStr">
        <is>
          <t>Setting</t>
        </is>
      </c>
      <c r="B2" s="8" t="inlineStr">
        <is>
          <t>Value</t>
        </is>
      </c>
      <c r="C2" s="8" t="inlineStr">
        <is>
          <t>Note</t>
        </is>
      </c>
    </row>
    <row r="3">
      <c r="A3" t="inlineStr">
        <is>
          <t>Road rate Rs per tonne-km (YOUR NUMBER)</t>
        </is>
      </c>
      <c r="B3" s="10" t="n">
        <v>5</v>
      </c>
      <c r="C3" t="inlineStr">
        <is>
          <t>Aman, chat 2026-10-12: approx Rs 5 per tonne per km (approximate, not a written quote). Clear to use the illustrative rate.</t>
        </is>
      </c>
    </row>
    <row r="4">
      <c r="A4" t="inlineStr">
        <is>
          <t>Illustrative road Rs per tonne-km</t>
        </is>
      </c>
      <c r="B4" t="n">
        <v>2.75</v>
      </c>
      <c r="C4" t="inlineStr">
        <is>
          <t>Indicative general-truck range Rs 2.0-3.5. NOT a coal quote.</t>
        </is>
      </c>
    </row>
    <row r="5">
      <c r="A5" t="inlineStr">
        <is>
          <t>Road rate used</t>
        </is>
      </c>
      <c r="B5">
        <f>IF(ISNUMBER(B3),B3,B4)</f>
        <v/>
      </c>
    </row>
    <row r="6">
      <c r="A6" t="inlineStr">
        <is>
          <t>Rate status</t>
        </is>
      </c>
      <c r="B6" s="10">
        <f>IF(ISNUMBER(B3),"Your quote","ILLUSTRATIVE - replace with your quote")</f>
        <v/>
      </c>
    </row>
    <row r="7">
      <c r="A7" t="inlineStr">
        <is>
          <t>Road km = straight-line x</t>
        </is>
      </c>
      <c r="B7" s="10" t="n">
        <v>1.3</v>
      </c>
      <c r="C7" t="inlineStr">
        <is>
          <t>Typical road winding factor [UNVERIFIED].</t>
        </is>
      </c>
    </row>
    <row r="8">
      <c r="A8" t="inlineStr">
        <is>
          <t>Rail km = straight-line x</t>
        </is>
      </c>
      <c r="B8" s="10" t="n">
        <v>1.2</v>
      </c>
      <c r="C8" t="inlineStr">
        <is>
          <t>Typical rail winding factor [UNVERIFIED]. FOIS charges on railway chargeable distance.</t>
        </is>
      </c>
    </row>
    <row r="9">
      <c r="A9" t="inlineStr">
        <is>
          <t>Loading + unloading Rs per tonne (per handling)</t>
        </is>
      </c>
      <c r="B9" s="10" t="n"/>
      <c r="C9" t="inlineStr">
        <is>
          <t>Blank counts as 0.</t>
        </is>
      </c>
    </row>
    <row r="10">
      <c r="A10" t="inlineStr">
        <is>
          <t>GST on freight %</t>
        </is>
      </c>
      <c r="B10" s="10" t="n">
        <v>5</v>
      </c>
      <c r="C10" t="inlineStr">
        <is>
          <t>Per the FOIS calculator note.</t>
        </is>
      </c>
    </row>
    <row r="11">
      <c r="A11" t="inlineStr">
        <is>
          <t>Take GST credit? (Y/N)</t>
        </is>
      </c>
      <c r="B11" s="10" t="inlineStr">
        <is>
          <t>N</t>
        </is>
      </c>
      <c r="C11" t="inlineStr">
        <is>
          <t>Y removes GST from the cost.</t>
        </is>
      </c>
    </row>
    <row r="12">
      <c r="A12" t="inlineStr">
        <is>
          <t>Minimum road Rs per tonne</t>
        </is>
      </c>
      <c r="B12" s="10" t="n"/>
      <c r="C12" t="inlineStr">
        <is>
          <t>Blank = no minimum.</t>
        </is>
      </c>
    </row>
    <row r="13">
      <c r="A13" t="inlineStr">
        <is>
          <t>Minimum haul km</t>
        </is>
      </c>
      <c r="B13" s="10" t="n">
        <v>25</v>
      </c>
      <c r="C13" t="inlineStr">
        <is>
          <t>Floor for a same-town haul [UNVERIFIED].</t>
        </is>
      </c>
    </row>
    <row r="14">
      <c r="A14" t="inlineStr">
        <is>
          <t>Edge radius km</t>
        </is>
      </c>
      <c r="B14" t="n">
        <v>150</v>
      </c>
      <c r="C14" t="inlineStr">
        <is>
          <t>Your rule: 150 km.</t>
        </is>
      </c>
    </row>
    <row r="15">
      <c r="A15" t="inlineStr">
        <is>
          <t>Reference point</t>
        </is>
      </c>
      <c r="B15" t="inlineStr">
        <is>
          <t>Raigarh town (siding station not yet given)</t>
        </is>
      </c>
      <c r="C15" t="inlineStr">
        <is>
          <t>Give me your siding's railway station and I will re-run from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2" customWidth="1" min="3" max="3"/>
  </cols>
  <sheetData>
    <row r="1">
      <c r="A1" s="8" t="inlineStr">
        <is>
          <t>From km</t>
        </is>
      </c>
      <c r="B1" s="8" t="inlineStr">
        <is>
          <t>To km</t>
        </is>
      </c>
      <c r="C1" s="8" t="inlineStr">
        <is>
          <t>Rs per tonne (base, train load)</t>
        </is>
      </c>
    </row>
    <row r="2">
      <c r="A2" t="n">
        <v>1</v>
      </c>
      <c r="B2" t="n">
        <v>100</v>
      </c>
      <c r="C2" t="n">
        <v>216</v>
      </c>
    </row>
    <row r="3">
      <c r="A3" t="n">
        <v>101</v>
      </c>
      <c r="B3" t="n">
        <v>125</v>
      </c>
      <c r="C3" t="n">
        <v>389.6</v>
      </c>
    </row>
    <row r="4">
      <c r="A4" t="n">
        <v>126</v>
      </c>
      <c r="B4" t="n">
        <v>150</v>
      </c>
      <c r="C4" t="n">
        <v>448.9</v>
      </c>
    </row>
    <row r="5">
      <c r="A5" t="n">
        <v>151</v>
      </c>
      <c r="B5" t="n">
        <v>175</v>
      </c>
      <c r="C5" t="n">
        <v>488.7</v>
      </c>
    </row>
    <row r="6">
      <c r="A6" t="n">
        <v>176</v>
      </c>
      <c r="B6" t="n">
        <v>200</v>
      </c>
      <c r="C6" t="n">
        <v>532.2</v>
      </c>
    </row>
    <row r="7">
      <c r="A7" t="n">
        <v>201</v>
      </c>
      <c r="B7" t="n">
        <v>275</v>
      </c>
      <c r="C7" t="n">
        <v>672.5</v>
      </c>
    </row>
    <row r="8">
      <c r="A8" t="n">
        <v>276</v>
      </c>
      <c r="B8" t="n">
        <v>350</v>
      </c>
      <c r="C8" t="n">
        <v>797.2</v>
      </c>
    </row>
    <row r="9">
      <c r="A9" t="n">
        <v>351</v>
      </c>
      <c r="B9" t="n">
        <v>425</v>
      </c>
      <c r="C9" t="n">
        <v>926</v>
      </c>
    </row>
    <row r="10">
      <c r="A10" t="n">
        <v>426</v>
      </c>
      <c r="B10" t="n">
        <v>500</v>
      </c>
      <c r="C10" t="n">
        <v>1054.7</v>
      </c>
    </row>
    <row r="11">
      <c r="A11" t="n">
        <v>501</v>
      </c>
      <c r="B11" t="n">
        <v>600</v>
      </c>
      <c r="C11" t="n">
        <v>1228</v>
      </c>
    </row>
    <row r="12">
      <c r="A12" t="n">
        <v>601</v>
      </c>
      <c r="B12" t="n">
        <v>700</v>
      </c>
      <c r="C12" t="n">
        <v>1398.7</v>
      </c>
    </row>
    <row r="13">
      <c r="A13" t="n">
        <v>701</v>
      </c>
      <c r="B13" t="n">
        <v>730</v>
      </c>
      <c r="C13" t="n">
        <v>1435.6</v>
      </c>
    </row>
    <row r="14">
      <c r="A14" t="n">
        <v>731</v>
      </c>
      <c r="B14" t="n">
        <v>760</v>
      </c>
      <c r="C14" t="n">
        <v>1484</v>
      </c>
    </row>
    <row r="15">
      <c r="A15" t="n">
        <v>761</v>
      </c>
      <c r="B15" t="n">
        <v>790</v>
      </c>
      <c r="C15" t="n">
        <v>1537.9</v>
      </c>
    </row>
    <row r="16">
      <c r="A16" t="n">
        <v>791</v>
      </c>
      <c r="B16" t="n">
        <v>820</v>
      </c>
      <c r="C16" t="n">
        <v>1586.7</v>
      </c>
    </row>
    <row r="17">
      <c r="A17" t="n">
        <v>821</v>
      </c>
      <c r="B17" t="n">
        <v>850</v>
      </c>
      <c r="C17" t="n">
        <v>1640.3</v>
      </c>
    </row>
    <row r="18">
      <c r="A18" t="n">
        <v>851</v>
      </c>
      <c r="B18" t="n">
        <v>880</v>
      </c>
      <c r="C18" t="n">
        <v>1688.6</v>
      </c>
    </row>
    <row r="19">
      <c r="A19" t="n">
        <v>881</v>
      </c>
      <c r="B19" t="n">
        <v>910</v>
      </c>
      <c r="C19" t="n">
        <v>1737</v>
      </c>
    </row>
    <row r="20">
      <c r="A20" t="n">
        <v>911</v>
      </c>
      <c r="B20" t="n">
        <v>940</v>
      </c>
      <c r="C20" t="n">
        <v>1790.2</v>
      </c>
    </row>
    <row r="21">
      <c r="A21" t="n">
        <v>941</v>
      </c>
      <c r="B21" t="n">
        <v>970</v>
      </c>
      <c r="C21" t="n">
        <v>1838.6</v>
      </c>
    </row>
    <row r="22">
      <c r="A22" t="n">
        <v>971</v>
      </c>
      <c r="B22" t="n">
        <v>1000</v>
      </c>
      <c r="C22" t="n">
        <v>1891.8</v>
      </c>
    </row>
    <row r="24">
      <c r="A24" t="inlineStr">
        <is>
          <t>FOIS rate class 145A train load, base tariff, read 2026-10-12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2" max="2"/>
    <col width="18" customWidth="1" min="3" max="3"/>
    <col width="18" customWidth="1" min="4" max="4"/>
    <col width="18" customWidth="1" min="5" max="5"/>
    <col width="18" customWidth="1" min="6" max="6"/>
    <col width="18" customWidth="1" min="7" max="7"/>
    <col width="18" customWidth="1" min="8" max="8"/>
  </cols>
  <sheetData>
    <row r="1">
      <c r="A1" s="3" t="inlineStr">
        <is>
          <t>Group</t>
        </is>
      </c>
      <c r="B1" s="3" t="inlineStr">
        <is>
          <t>Competitor</t>
        </is>
      </c>
      <c r="C1" s="3" t="inlineStr">
        <is>
          <t>Tenders bid (export)</t>
        </is>
      </c>
      <c r="D1" s="3" t="inlineStr">
        <is>
          <t>Wins (export)</t>
        </is>
      </c>
      <c r="E1" s="3" t="inlineStr">
        <is>
          <t>Won Rs Cr (export)</t>
        </is>
      </c>
      <c r="F1" s="3" t="inlineStr">
        <is>
          <t>Wins in this sheet</t>
        </is>
      </c>
      <c r="G1" s="3" t="inlineStr">
        <is>
          <t>Wins on EDGE tenders (Yes)</t>
        </is>
      </c>
      <c r="H1" s="3" t="inlineStr">
        <is>
          <t>Edge tenders they won, Rs Cr</t>
        </is>
      </c>
    </row>
    <row r="2">
      <c r="A2" t="inlineStr">
        <is>
          <t>User's 15</t>
        </is>
      </c>
      <c r="B2" t="inlineStr">
        <is>
          <t>Godavari Commodities</t>
        </is>
      </c>
      <c r="C2" t="n">
        <v>60</v>
      </c>
      <c r="D2" t="n">
        <v>4</v>
      </c>
      <c r="E2" t="n">
        <v>282.37</v>
      </c>
      <c r="F2">
        <f>COUNTIF(Master!$Q$2:$Q$321,"*"&amp;IFERROR(LEFT(B2,FIND(" /",B2)-1),B2)&amp;"*")</f>
        <v/>
      </c>
      <c r="G2">
        <f>COUNTIFS(Master!$Q$2:$Q$321,"*"&amp;IFERROR(LEFT(B2,FIND(" /",B2)-1),B2)&amp;"*",Master!$A$2:$A$321,"Yes")</f>
        <v/>
      </c>
      <c r="H2">
        <f>SUMIFS(Master!$T$2:$T$321,Master!$Q$2:$Q$321,"*"&amp;IFERROR(LEFT(B2,FIND(" /",B2)-1),B2)&amp;"*",Master!$A$2:$A$321,"Yes")</f>
        <v/>
      </c>
    </row>
    <row r="3">
      <c r="A3" t="inlineStr">
        <is>
          <t>Other (recommended)</t>
        </is>
      </c>
      <c r="B3" t="inlineStr">
        <is>
          <t>G K Associates</t>
        </is>
      </c>
      <c r="C3" t="n">
        <v>40</v>
      </c>
      <c r="D3" t="n">
        <v>5</v>
      </c>
      <c r="E3" t="n">
        <v>374.77</v>
      </c>
      <c r="F3">
        <f>COUNTIF(Master!$Q$2:$Q$321,"*"&amp;IFERROR(LEFT(B3,FIND(" /",B3)-1),B3)&amp;"*")</f>
        <v/>
      </c>
      <c r="G3">
        <f>COUNTIFS(Master!$Q$2:$Q$321,"*"&amp;IFERROR(LEFT(B3,FIND(" /",B3)-1),B3)&amp;"*",Master!$A$2:$A$321,"Yes")</f>
        <v/>
      </c>
      <c r="H3">
        <f>SUMIFS(Master!$T$2:$T$321,Master!$Q$2:$Q$321,"*"&amp;IFERROR(LEFT(B3,FIND(" /",B3)-1),B3)&amp;"*",Master!$A$2:$A$321,"Yes")</f>
        <v/>
      </c>
    </row>
    <row r="4">
      <c r="A4" t="inlineStr">
        <is>
          <t>User's 15</t>
        </is>
      </c>
      <c r="B4" t="inlineStr">
        <is>
          <t>Mohit Minerals</t>
        </is>
      </c>
      <c r="C4" t="n">
        <v>24</v>
      </c>
      <c r="D4" t="n">
        <v>5</v>
      </c>
      <c r="E4" t="n">
        <v>793.62</v>
      </c>
      <c r="F4">
        <f>COUNTIF(Master!$Q$2:$Q$321,"*"&amp;IFERROR(LEFT(B4,FIND(" /",B4)-1),B4)&amp;"*")</f>
        <v/>
      </c>
      <c r="G4">
        <f>COUNTIFS(Master!$Q$2:$Q$321,"*"&amp;IFERROR(LEFT(B4,FIND(" /",B4)-1),B4)&amp;"*",Master!$A$2:$A$321,"Yes")</f>
        <v/>
      </c>
      <c r="H4">
        <f>SUMIFS(Master!$T$2:$T$321,Master!$Q$2:$Q$321,"*"&amp;IFERROR(LEFT(B4,FIND(" /",B4)-1),B4)&amp;"*",Master!$A$2:$A$321,"Yes")</f>
        <v/>
      </c>
    </row>
    <row r="5">
      <c r="A5" t="inlineStr">
        <is>
          <t>User's 15</t>
        </is>
      </c>
      <c r="B5" t="inlineStr">
        <is>
          <t>Anoop Road Carriers</t>
        </is>
      </c>
      <c r="C5" t="n">
        <v>19</v>
      </c>
      <c r="D5" t="n">
        <v>0</v>
      </c>
      <c r="E5" t="n">
        <v>0</v>
      </c>
      <c r="F5">
        <f>COUNTIF(Master!$Q$2:$Q$321,"*"&amp;IFERROR(LEFT(B5,FIND(" /",B5)-1),B5)&amp;"*")</f>
        <v/>
      </c>
      <c r="G5">
        <f>COUNTIFS(Master!$Q$2:$Q$321,"*"&amp;IFERROR(LEFT(B5,FIND(" /",B5)-1),B5)&amp;"*",Master!$A$2:$A$321,"Yes")</f>
        <v/>
      </c>
      <c r="H5">
        <f>SUMIFS(Master!$T$2:$T$321,Master!$Q$2:$Q$321,"*"&amp;IFERROR(LEFT(B5,FIND(" /",B5)-1),B5)&amp;"*",Master!$A$2:$A$321,"Yes")</f>
        <v/>
      </c>
    </row>
    <row r="6">
      <c r="A6" t="inlineStr">
        <is>
          <t>Other (recommended)</t>
        </is>
      </c>
      <c r="B6" t="inlineStr">
        <is>
          <t>Nkas Services</t>
        </is>
      </c>
      <c r="C6" t="n">
        <v>19</v>
      </c>
      <c r="D6" t="n">
        <v>0</v>
      </c>
      <c r="E6" t="n">
        <v>0</v>
      </c>
      <c r="F6">
        <f>COUNTIF(Master!$Q$2:$Q$321,"*"&amp;IFERROR(LEFT(B6,FIND(" /",B6)-1),B6)&amp;"*")</f>
        <v/>
      </c>
      <c r="G6">
        <f>COUNTIFS(Master!$Q$2:$Q$321,"*"&amp;IFERROR(LEFT(B6,FIND(" /",B6)-1),B6)&amp;"*",Master!$A$2:$A$321,"Yes")</f>
        <v/>
      </c>
      <c r="H6">
        <f>SUMIFS(Master!$T$2:$T$321,Master!$Q$2:$Q$321,"*"&amp;IFERROR(LEFT(B6,FIND(" /",B6)-1),B6)&amp;"*",Master!$A$2:$A$321,"Yes")</f>
        <v/>
      </c>
    </row>
    <row r="7">
      <c r="A7" t="inlineStr">
        <is>
          <t>Other (recommended)</t>
        </is>
      </c>
      <c r="B7" t="inlineStr">
        <is>
          <t>Chandan Kumar Singh</t>
        </is>
      </c>
      <c r="C7" t="n">
        <v>15</v>
      </c>
      <c r="D7" t="n">
        <v>4</v>
      </c>
      <c r="E7" t="n">
        <v>11.95</v>
      </c>
      <c r="F7">
        <f>COUNTIF(Master!$Q$2:$Q$321,"*"&amp;IFERROR(LEFT(B7,FIND(" /",B7)-1),B7)&amp;"*")</f>
        <v/>
      </c>
      <c r="G7">
        <f>COUNTIFS(Master!$Q$2:$Q$321,"*"&amp;IFERROR(LEFT(B7,FIND(" /",B7)-1),B7)&amp;"*",Master!$A$2:$A$321,"Yes")</f>
        <v/>
      </c>
      <c r="H7">
        <f>SUMIFS(Master!$T$2:$T$321,Master!$Q$2:$Q$321,"*"&amp;IFERROR(LEFT(B7,FIND(" /",B7)-1),B7)&amp;"*",Master!$A$2:$A$321,"Yes")</f>
        <v/>
      </c>
    </row>
    <row r="8">
      <c r="A8" t="inlineStr">
        <is>
          <t>Other (recommended)</t>
        </is>
      </c>
      <c r="B8" t="inlineStr">
        <is>
          <t>Sangita Sales</t>
        </is>
      </c>
      <c r="C8" t="n">
        <v>15</v>
      </c>
      <c r="D8" t="n">
        <v>1</v>
      </c>
      <c r="E8" t="n">
        <v>1.16</v>
      </c>
      <c r="F8">
        <f>COUNTIF(Master!$Q$2:$Q$321,"*"&amp;IFERROR(LEFT(B8,FIND(" /",B8)-1),B8)&amp;"*")</f>
        <v/>
      </c>
      <c r="G8">
        <f>COUNTIFS(Master!$Q$2:$Q$321,"*"&amp;IFERROR(LEFT(B8,FIND(" /",B8)-1),B8)&amp;"*",Master!$A$2:$A$321,"Yes")</f>
        <v/>
      </c>
      <c r="H8">
        <f>SUMIFS(Master!$T$2:$T$321,Master!$Q$2:$Q$321,"*"&amp;IFERROR(LEFT(B8,FIND(" /",B8)-1),B8)&amp;"*",Master!$A$2:$A$321,"Yes")</f>
        <v/>
      </c>
    </row>
    <row r="9">
      <c r="A9" t="inlineStr">
        <is>
          <t>Other (recommended)</t>
        </is>
      </c>
      <c r="B9" t="inlineStr">
        <is>
          <t>Bharat Road Carrier</t>
        </is>
      </c>
      <c r="C9" t="n">
        <v>14</v>
      </c>
      <c r="D9" t="n">
        <v>3</v>
      </c>
      <c r="E9" t="n">
        <v>16.67</v>
      </c>
      <c r="F9">
        <f>COUNTIF(Master!$Q$2:$Q$321,"*"&amp;IFERROR(LEFT(B9,FIND(" /",B9)-1),B9)&amp;"*")</f>
        <v/>
      </c>
      <c r="G9">
        <f>COUNTIFS(Master!$Q$2:$Q$321,"*"&amp;IFERROR(LEFT(B9,FIND(" /",B9)-1),B9)&amp;"*",Master!$A$2:$A$321,"Yes")</f>
        <v/>
      </c>
      <c r="H9">
        <f>SUMIFS(Master!$T$2:$T$321,Master!$Q$2:$Q$321,"*"&amp;IFERROR(LEFT(B9,FIND(" /",B9)-1),B9)&amp;"*",Master!$A$2:$A$321,"Yes")</f>
        <v/>
      </c>
    </row>
    <row r="10">
      <c r="A10" t="inlineStr">
        <is>
          <t>Other (recommended)</t>
        </is>
      </c>
      <c r="B10" t="inlineStr">
        <is>
          <t>Saikrupa Coal Supplier</t>
        </is>
      </c>
      <c r="C10" t="n">
        <v>14</v>
      </c>
      <c r="D10" t="n">
        <v>2</v>
      </c>
      <c r="E10" t="n">
        <v>34.97</v>
      </c>
      <c r="F10">
        <f>COUNTIF(Master!$Q$2:$Q$321,"*"&amp;IFERROR(LEFT(B10,FIND(" /",B10)-1),B10)&amp;"*")</f>
        <v/>
      </c>
      <c r="G10">
        <f>COUNTIFS(Master!$Q$2:$Q$321,"*"&amp;IFERROR(LEFT(B10,FIND(" /",B10)-1),B10)&amp;"*",Master!$A$2:$A$321,"Yes")</f>
        <v/>
      </c>
      <c r="H10">
        <f>SUMIFS(Master!$T$2:$T$321,Master!$Q$2:$Q$321,"*"&amp;IFERROR(LEFT(B10,FIND(" /",B10)-1),B10)&amp;"*",Master!$A$2:$A$321,"Yes")</f>
        <v/>
      </c>
    </row>
    <row r="11">
      <c r="A11" t="inlineStr">
        <is>
          <t>Tender247 shortlist</t>
        </is>
      </c>
      <c r="B11" t="inlineStr">
        <is>
          <t>United Coal Carriers</t>
        </is>
      </c>
      <c r="C11" t="n">
        <v>14</v>
      </c>
      <c r="D11" t="n">
        <v>4</v>
      </c>
      <c r="E11" t="n">
        <v>4.23</v>
      </c>
      <c r="F11">
        <f>COUNTIF(Master!$Q$2:$Q$321,"*"&amp;IFERROR(LEFT(B11,FIND(" /",B11)-1),B11)&amp;"*")</f>
        <v/>
      </c>
      <c r="G11">
        <f>COUNTIFS(Master!$Q$2:$Q$321,"*"&amp;IFERROR(LEFT(B11,FIND(" /",B11)-1),B11)&amp;"*",Master!$A$2:$A$321,"Yes")</f>
        <v/>
      </c>
      <c r="H11">
        <f>SUMIFS(Master!$T$2:$T$321,Master!$Q$2:$Q$321,"*"&amp;IFERROR(LEFT(B11,FIND(" /",B11)-1),B11)&amp;"*",Master!$A$2:$A$321,"Yes")</f>
        <v/>
      </c>
    </row>
    <row r="12">
      <c r="A12" t="inlineStr">
        <is>
          <t>User's 15</t>
        </is>
      </c>
      <c r="B12" t="inlineStr">
        <is>
          <t>Indermani / Indramani</t>
        </is>
      </c>
      <c r="C12" t="n">
        <v>12</v>
      </c>
      <c r="D12" t="n">
        <v>2</v>
      </c>
      <c r="E12" t="n">
        <v>512.64</v>
      </c>
      <c r="F12">
        <f>COUNTIF(Master!$Q$2:$Q$321,"*"&amp;IFERROR(LEFT(B12,FIND(" /",B12)-1),B12)&amp;"*")</f>
        <v/>
      </c>
      <c r="G12">
        <f>COUNTIFS(Master!$Q$2:$Q$321,"*"&amp;IFERROR(LEFT(B12,FIND(" /",B12)-1),B12)&amp;"*",Master!$A$2:$A$321,"Yes")</f>
        <v/>
      </c>
      <c r="H12">
        <f>SUMIFS(Master!$T$2:$T$321,Master!$Q$2:$Q$321,"*"&amp;IFERROR(LEFT(B12,FIND(" /",B12)-1),B12)&amp;"*",Master!$A$2:$A$321,"Yes")</f>
        <v/>
      </c>
    </row>
    <row r="13">
      <c r="A13" t="inlineStr">
        <is>
          <t>Tender247 shortlist</t>
        </is>
      </c>
      <c r="B13" t="inlineStr">
        <is>
          <t>Caliber Mining and Logistics</t>
        </is>
      </c>
      <c r="C13" t="n">
        <v>8</v>
      </c>
      <c r="D13" t="n">
        <v>2</v>
      </c>
      <c r="E13" t="n">
        <v>2947.85</v>
      </c>
      <c r="F13">
        <f>COUNTIF(Master!$Q$2:$Q$321,"*"&amp;IFERROR(LEFT(B13,FIND(" /",B13)-1),B13)&amp;"*")</f>
        <v/>
      </c>
      <c r="G13">
        <f>COUNTIFS(Master!$Q$2:$Q$321,"*"&amp;IFERROR(LEFT(B13,FIND(" /",B13)-1),B13)&amp;"*",Master!$A$2:$A$321,"Yes")</f>
        <v/>
      </c>
      <c r="H13">
        <f>SUMIFS(Master!$T$2:$T$321,Master!$Q$2:$Q$321,"*"&amp;IFERROR(LEFT(B13,FIND(" /",B13)-1),B13)&amp;"*",Master!$A$2:$A$321,"Yes")</f>
        <v/>
      </c>
    </row>
    <row r="14">
      <c r="A14" t="inlineStr">
        <is>
          <t>Tender247 shortlist</t>
        </is>
      </c>
      <c r="B14" t="inlineStr">
        <is>
          <t>Orissa Stevedores</t>
        </is>
      </c>
      <c r="C14" t="n">
        <v>7</v>
      </c>
      <c r="D14" t="n">
        <v>0</v>
      </c>
      <c r="E14" t="n">
        <v>0</v>
      </c>
      <c r="F14">
        <f>COUNTIF(Master!$Q$2:$Q$321,"*"&amp;IFERROR(LEFT(B14,FIND(" /",B14)-1),B14)&amp;"*")</f>
        <v/>
      </c>
      <c r="G14">
        <f>COUNTIFS(Master!$Q$2:$Q$321,"*"&amp;IFERROR(LEFT(B14,FIND(" /",B14)-1),B14)&amp;"*",Master!$A$2:$A$321,"Yes")</f>
        <v/>
      </c>
      <c r="H14">
        <f>SUMIFS(Master!$T$2:$T$321,Master!$Q$2:$Q$321,"*"&amp;IFERROR(LEFT(B14,FIND(" /",B14)-1),B14)&amp;"*",Master!$A$2:$A$321,"Yes")</f>
        <v/>
      </c>
    </row>
    <row r="15">
      <c r="A15" t="inlineStr">
        <is>
          <t>Tender247 shortlist</t>
        </is>
      </c>
      <c r="B15" t="inlineStr">
        <is>
          <t>Krishna Infrastructure</t>
        </is>
      </c>
      <c r="C15" t="n">
        <v>5</v>
      </c>
      <c r="D15" t="n">
        <v>2</v>
      </c>
      <c r="E15" t="n">
        <v>176.1</v>
      </c>
      <c r="F15">
        <f>COUNTIF(Master!$Q$2:$Q$321,"*"&amp;IFERROR(LEFT(B15,FIND(" /",B15)-1),B15)&amp;"*")</f>
        <v/>
      </c>
      <c r="G15">
        <f>COUNTIFS(Master!$Q$2:$Q$321,"*"&amp;IFERROR(LEFT(B15,FIND(" /",B15)-1),B15)&amp;"*",Master!$A$2:$A$321,"Yes")</f>
        <v/>
      </c>
      <c r="H15">
        <f>SUMIFS(Master!$T$2:$T$321,Master!$Q$2:$Q$321,"*"&amp;IFERROR(LEFT(B15,FIND(" /",B15)-1),B15)&amp;"*",Master!$A$2:$A$321,"Yes")</f>
        <v/>
      </c>
    </row>
    <row r="16">
      <c r="A16" t="inlineStr">
        <is>
          <t>Tender247 shortlist</t>
        </is>
      </c>
      <c r="B16" t="inlineStr">
        <is>
          <t>Tirupati Minerals</t>
        </is>
      </c>
      <c r="C16" t="n">
        <v>5</v>
      </c>
      <c r="D16" t="n">
        <v>0</v>
      </c>
      <c r="E16" t="n">
        <v>0</v>
      </c>
      <c r="F16">
        <f>COUNTIF(Master!$Q$2:$Q$321,"*"&amp;IFERROR(LEFT(B16,FIND(" /",B16)-1),B16)&amp;"*")</f>
        <v/>
      </c>
      <c r="G16">
        <f>COUNTIFS(Master!$Q$2:$Q$321,"*"&amp;IFERROR(LEFT(B16,FIND(" /",B16)-1),B16)&amp;"*",Master!$A$2:$A$321,"Yes")</f>
        <v/>
      </c>
      <c r="H16">
        <f>SUMIFS(Master!$T$2:$T$321,Master!$Q$2:$Q$321,"*"&amp;IFERROR(LEFT(B16,FIND(" /",B16)-1),B16)&amp;"*",Master!$A$2:$A$321,"Yes")</f>
        <v/>
      </c>
    </row>
    <row r="17">
      <c r="A17" t="inlineStr">
        <is>
          <t>User's 15</t>
        </is>
      </c>
      <c r="B17" t="inlineStr">
        <is>
          <t>Sendoz Impex</t>
        </is>
      </c>
      <c r="C17" t="n">
        <v>4</v>
      </c>
      <c r="D17" t="n">
        <v>0</v>
      </c>
      <c r="E17" t="n">
        <v>0</v>
      </c>
      <c r="F17">
        <f>COUNTIF(Master!$Q$2:$Q$321,"*"&amp;IFERROR(LEFT(B17,FIND(" /",B17)-1),B17)&amp;"*")</f>
        <v/>
      </c>
      <c r="G17">
        <f>COUNTIFS(Master!$Q$2:$Q$321,"*"&amp;IFERROR(LEFT(B17,FIND(" /",B17)-1),B17)&amp;"*",Master!$A$2:$A$321,"Yes")</f>
        <v/>
      </c>
      <c r="H17">
        <f>SUMIFS(Master!$T$2:$T$321,Master!$Q$2:$Q$321,"*"&amp;IFERROR(LEFT(B17,FIND(" /",B17)-1),B17)&amp;"*",Master!$A$2:$A$321,"Yes")</f>
        <v/>
      </c>
    </row>
    <row r="18">
      <c r="A18" t="inlineStr">
        <is>
          <t>Other (recommended)</t>
        </is>
      </c>
      <c r="B18" t="inlineStr">
        <is>
          <t>Swami Fuels</t>
        </is>
      </c>
      <c r="C18" t="n">
        <v>3</v>
      </c>
      <c r="D18" t="n">
        <v>1</v>
      </c>
      <c r="E18" t="n">
        <v>6.68</v>
      </c>
      <c r="F18">
        <f>COUNTIF(Master!$Q$2:$Q$321,"*"&amp;IFERROR(LEFT(B18,FIND(" /",B18)-1),B18)&amp;"*")</f>
        <v/>
      </c>
      <c r="G18">
        <f>COUNTIFS(Master!$Q$2:$Q$321,"*"&amp;IFERROR(LEFT(B18,FIND(" /",B18)-1),B18)&amp;"*",Master!$A$2:$A$321,"Yes")</f>
        <v/>
      </c>
      <c r="H18">
        <f>SUMIFS(Master!$T$2:$T$321,Master!$Q$2:$Q$321,"*"&amp;IFERROR(LEFT(B18,FIND(" /",B18)-1),B18)&amp;"*",Master!$A$2:$A$321,"Yes")</f>
        <v/>
      </c>
    </row>
    <row r="19">
      <c r="A19" t="inlineStr">
        <is>
          <t>User's 15</t>
        </is>
      </c>
      <c r="B19" t="inlineStr">
        <is>
          <t>Advika Logistics</t>
        </is>
      </c>
      <c r="C19" t="n">
        <v>2</v>
      </c>
      <c r="D19" t="n">
        <v>0</v>
      </c>
      <c r="E19" t="n">
        <v>0</v>
      </c>
      <c r="F19">
        <f>COUNTIF(Master!$Q$2:$Q$321,"*"&amp;IFERROR(LEFT(B19,FIND(" /",B19)-1),B19)&amp;"*")</f>
        <v/>
      </c>
      <c r="G19">
        <f>COUNTIFS(Master!$Q$2:$Q$321,"*"&amp;IFERROR(LEFT(B19,FIND(" /",B19)-1),B19)&amp;"*",Master!$A$2:$A$321,"Yes")</f>
        <v/>
      </c>
      <c r="H19">
        <f>SUMIFS(Master!$T$2:$T$321,Master!$Q$2:$Q$321,"*"&amp;IFERROR(LEFT(B19,FIND(" /",B19)-1),B19)&amp;"*",Master!$A$2:$A$321,"Yes")</f>
        <v/>
      </c>
    </row>
    <row r="20">
      <c r="A20" t="inlineStr">
        <is>
          <t>User's +2</t>
        </is>
      </c>
      <c r="B20" t="inlineStr">
        <is>
          <t>Shah Coal</t>
        </is>
      </c>
      <c r="C20" t="n">
        <v>2</v>
      </c>
      <c r="D20" t="n">
        <v>0</v>
      </c>
      <c r="E20" t="n">
        <v>0</v>
      </c>
      <c r="F20">
        <f>COUNTIF(Master!$Q$2:$Q$321,"*"&amp;IFERROR(LEFT(B20,FIND(" /",B20)-1),B20)&amp;"*")</f>
        <v/>
      </c>
      <c r="G20">
        <f>COUNTIFS(Master!$Q$2:$Q$321,"*"&amp;IFERROR(LEFT(B20,FIND(" /",B20)-1),B20)&amp;"*",Master!$A$2:$A$321,"Yes")</f>
        <v/>
      </c>
      <c r="H20">
        <f>SUMIFS(Master!$T$2:$T$321,Master!$Q$2:$Q$321,"*"&amp;IFERROR(LEFT(B20,FIND(" /",B20)-1),B20)&amp;"*",Master!$A$2:$A$321,"Yes")</f>
        <v/>
      </c>
    </row>
    <row r="21">
      <c r="A21" t="inlineStr">
        <is>
          <t>Tender247 shortlist</t>
        </is>
      </c>
      <c r="B21" t="inlineStr">
        <is>
          <t>Vikas Coal and Minerals</t>
        </is>
      </c>
      <c r="C21" t="n">
        <v>2</v>
      </c>
      <c r="D21" t="n">
        <v>0</v>
      </c>
      <c r="E21" t="n">
        <v>0</v>
      </c>
      <c r="F21">
        <f>COUNTIF(Master!$Q$2:$Q$321,"*"&amp;IFERROR(LEFT(B21,FIND(" /",B21)-1),B21)&amp;"*")</f>
        <v/>
      </c>
      <c r="G21">
        <f>COUNTIFS(Master!$Q$2:$Q$321,"*"&amp;IFERROR(LEFT(B21,FIND(" /",B21)-1),B21)&amp;"*",Master!$A$2:$A$321,"Yes")</f>
        <v/>
      </c>
      <c r="H21">
        <f>SUMIFS(Master!$T$2:$T$321,Master!$Q$2:$Q$321,"*"&amp;IFERROR(LEFT(B21,FIND(" /",B21)-1),B21)&amp;"*",Master!$A$2:$A$321,"Yes")</f>
        <v/>
      </c>
    </row>
    <row r="22">
      <c r="A22" t="inlineStr">
        <is>
          <t>User's 15</t>
        </is>
      </c>
      <c r="B22" t="inlineStr">
        <is>
          <t>Omax</t>
        </is>
      </c>
      <c r="C22" t="n">
        <v>1</v>
      </c>
      <c r="D22" t="n">
        <v>0</v>
      </c>
      <c r="E22" t="n">
        <v>0</v>
      </c>
      <c r="F22">
        <f>COUNTIF(Master!$Q$2:$Q$321,"*"&amp;IFERROR(LEFT(B22,FIND(" /",B22)-1),B22)&amp;"*")</f>
        <v/>
      </c>
      <c r="G22">
        <f>COUNTIFS(Master!$Q$2:$Q$321,"*"&amp;IFERROR(LEFT(B22,FIND(" /",B22)-1),B22)&amp;"*",Master!$A$2:$A$321,"Yes")</f>
        <v/>
      </c>
      <c r="H22">
        <f>SUMIFS(Master!$T$2:$T$321,Master!$Q$2:$Q$321,"*"&amp;IFERROR(LEFT(B22,FIND(" /",B22)-1),B22)&amp;"*",Master!$A$2:$A$321,"Yes")</f>
        <v/>
      </c>
    </row>
    <row r="23">
      <c r="A23" t="inlineStr">
        <is>
          <t>Tender247 shortlist</t>
        </is>
      </c>
      <c r="B23" t="inlineStr">
        <is>
          <t>Vedvyas Logistic</t>
        </is>
      </c>
      <c r="C23" t="n">
        <v>1</v>
      </c>
      <c r="D23" t="n">
        <v>0</v>
      </c>
      <c r="E23" t="n">
        <v>0</v>
      </c>
      <c r="F23">
        <f>COUNTIF(Master!$Q$2:$Q$321,"*"&amp;IFERROR(LEFT(B23,FIND(" /",B23)-1),B23)&amp;"*")</f>
        <v/>
      </c>
      <c r="G23">
        <f>COUNTIFS(Master!$Q$2:$Q$321,"*"&amp;IFERROR(LEFT(B23,FIND(" /",B23)-1),B23)&amp;"*",Master!$A$2:$A$321,"Yes")</f>
        <v/>
      </c>
      <c r="H23">
        <f>SUMIFS(Master!$T$2:$T$321,Master!$Q$2:$Q$321,"*"&amp;IFERROR(LEFT(B23,FIND(" /",B23)-1),B23)&amp;"*",Master!$A$2:$A$321,"Yes")</f>
        <v/>
      </c>
    </row>
    <row r="25">
      <c r="A25" t="inlineStr">
        <is>
          <t>Names match the Tender247 winner spelling; counts can differ from the export when spellings differ.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2026-10-12T05:06:49Z</dcterms:created>
  <dcterms:modified xsi:type="dcterms:W3CDTF">2026-10-12T05:06:49Z</dcterms:modified>
</cp:coreProperties>
</file>